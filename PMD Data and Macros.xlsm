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\OneDrive\Documents\Julias stuff\University stuff\University 2021-2022\Professional Maths Skills\To submit\"/>
    </mc:Choice>
  </mc:AlternateContent>
  <xr:revisionPtr revIDLastSave="0" documentId="8_{269D10E8-BF94-4429-8783-79A0E0A5A784}" xr6:coauthVersionLast="47" xr6:coauthVersionMax="47" xr10:uidLastSave="{00000000-0000-0000-0000-000000000000}"/>
  <bookViews>
    <workbookView xWindow="-98" yWindow="-98" windowWidth="19396" windowHeight="11596" xr2:uid="{07FE762C-B079-4298-B535-CB9889B1AAF4}"/>
  </bookViews>
  <sheets>
    <sheet name="Sheet1" sheetId="1" r:id="rId1"/>
    <sheet name="Key Stats" sheetId="4" r:id="rId2"/>
    <sheet name="Macros" sheetId="2" r:id="rId3"/>
    <sheet name="Charts" sheetId="3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0" i="1" l="1"/>
  <c r="F43" i="1"/>
  <c r="F35" i="1"/>
  <c r="F31" i="1"/>
  <c r="F30" i="1"/>
  <c r="F29" i="1"/>
  <c r="F28" i="1"/>
  <c r="F27" i="1"/>
  <c r="F25" i="1"/>
  <c r="F17" i="1"/>
  <c r="F15" i="1"/>
  <c r="F14" i="1"/>
  <c r="F13" i="1"/>
  <c r="F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Julia</author>
  </authors>
  <commentList>
    <comment ref="F2" authorId="0" shapeId="0" xr:uid="{74409637-50C2-4594-9D17-4D2910B5792A}">
      <text>
        <r>
          <rPr>
            <b/>
            <sz val="9"/>
            <color indexed="81"/>
            <rFont val="Tahoma"/>
            <family val="2"/>
          </rPr>
          <t xml:space="preserve">1 USD = 0.7335 GBP, fields marked in red have salary less than 25600 GBP.
</t>
        </r>
      </text>
    </comment>
    <comment ref="N2" authorId="0" shapeId="0" xr:uid="{E5384C67-C5A6-44C6-B7B5-0CE3C4CC4601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To different locations, not travel to work</t>
        </r>
      </text>
    </comment>
    <comment ref="Q2" authorId="0" shapeId="0" xr:uid="{5B9042E9-D826-4460-BF79-BFE505B25E1D}">
      <text>
        <r>
          <rPr>
            <sz val="9"/>
            <color indexed="81"/>
            <rFont val="Tahoma"/>
            <family val="2"/>
          </rPr>
          <t>If not specified on job description =&gt; N, also can make educated guesses</t>
        </r>
      </text>
    </comment>
    <comment ref="G7" authorId="0" shapeId="0" xr:uid="{FD9E9BDC-77DF-4084-807F-5B3B1D6CAC31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But with 2 years experience</t>
        </r>
      </text>
    </comment>
    <comment ref="H7" authorId="0" shapeId="0" xr:uid="{50380737-47F9-43C2-85DC-3D4239D7BDBD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No experience needed with Masters
</t>
        </r>
      </text>
    </comment>
    <comment ref="F20" authorId="0" shapeId="0" xr:uid="{32586CD0-066A-433C-B8C7-08BA44E3D67A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Competitive salary</t>
        </r>
      </text>
    </comment>
    <comment ref="F24" authorId="0" shapeId="0" xr:uid="{08269D3C-E610-4322-A3D1-3118A1374B20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Competitive salary</t>
        </r>
      </text>
    </comment>
    <comment ref="F25" authorId="0" shapeId="0" xr:uid="{FB70D821-D799-486D-A25B-5B286AF5BCE6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Up to this amount per month</t>
        </r>
      </text>
    </comment>
    <comment ref="P25" authorId="0" shapeId="0" xr:uid="{50AB67F3-D236-45CD-B190-8E37D2ADB7EC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Basic computer skills</t>
        </r>
      </text>
    </comment>
    <comment ref="F28" authorId="0" shapeId="0" xr:uid="{CD5E82FA-0913-4D55-B49B-12924FD4ED30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Up to this amount per month</t>
        </r>
      </text>
    </comment>
    <comment ref="P28" authorId="0" shapeId="0" xr:uid="{E34E7ECB-7817-4E88-AF86-AEB59158E031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Basic computer skills</t>
        </r>
      </text>
    </comment>
    <comment ref="F30" authorId="0" shapeId="0" xr:uid="{3B513FFB-E4BC-47C3-8B2A-9F3351504D19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Up to this amount per month</t>
        </r>
      </text>
    </comment>
    <comment ref="F31" authorId="0" shapeId="0" xr:uid="{7A1B77DE-9095-4517-8626-275949200F7D}">
      <text>
        <r>
          <rPr>
            <b/>
            <sz val="9"/>
            <color indexed="81"/>
            <rFont val="Tahoma"/>
            <family val="2"/>
          </rPr>
          <t>Julia:</t>
        </r>
        <r>
          <rPr>
            <sz val="9"/>
            <color indexed="81"/>
            <rFont val="Tahoma"/>
            <family val="2"/>
          </rPr>
          <t xml:space="preserve">
Up 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Julia</author>
  </authors>
  <commentList>
    <comment ref="T30" authorId="0" shapeId="0" xr:uid="{CE98E0FE-A783-457E-88F0-307E49CBDC5C}">
      <text>
        <r>
          <rPr>
            <b/>
            <sz val="9"/>
            <color indexed="81"/>
            <rFont val="Tahoma"/>
            <family val="2"/>
          </rPr>
          <t>Jobs with this salary lie in sectors:
Teaching and Other.</t>
        </r>
      </text>
    </comment>
  </commentList>
</comments>
</file>

<file path=xl/sharedStrings.xml><?xml version="1.0" encoding="utf-8"?>
<sst xmlns="http://schemas.openxmlformats.org/spreadsheetml/2006/main" count="1250" uniqueCount="219">
  <si>
    <t>Links</t>
  </si>
  <si>
    <t>Job Name</t>
  </si>
  <si>
    <t>Company/Employer</t>
  </si>
  <si>
    <t>Category/Type of Job</t>
  </si>
  <si>
    <t>Benefits?</t>
  </si>
  <si>
    <t>Pay</t>
  </si>
  <si>
    <t>Bachelor Degree</t>
  </si>
  <si>
    <t>Masters needed</t>
  </si>
  <si>
    <t>PhD needed</t>
  </si>
  <si>
    <t>Location</t>
  </si>
  <si>
    <t>USA/UK</t>
  </si>
  <si>
    <t>US citizenship required</t>
  </si>
  <si>
    <t>Physically active</t>
  </si>
  <si>
    <t>Travel required</t>
  </si>
  <si>
    <t>Bilingual</t>
  </si>
  <si>
    <t>Microsoft Office/ Computer skills</t>
  </si>
  <si>
    <t xml:space="preserve">Work in a team </t>
  </si>
  <si>
    <t>Close attention to detail</t>
  </si>
  <si>
    <t>Independent worker</t>
  </si>
  <si>
    <t>Leadership skills</t>
  </si>
  <si>
    <t>Adaptability/Flexibility</t>
  </si>
  <si>
    <t>Problem solving skills</t>
  </si>
  <si>
    <t>Strong verbal and written communication skills</t>
  </si>
  <si>
    <t>High interest?</t>
  </si>
  <si>
    <t>ENTRY LEVEL ADMINISTRATOR in Cheltenham, Gloucestershire | RE Recruitment - Totaljobs</t>
  </si>
  <si>
    <t>ENTRY LEVEL ADMINISTRATOR</t>
  </si>
  <si>
    <t>RE Recruitment</t>
  </si>
  <si>
    <t>Administrator</t>
  </si>
  <si>
    <t>N</t>
  </si>
  <si>
    <t>Cheltenham</t>
  </si>
  <si>
    <t>UK</t>
  </si>
  <si>
    <t>Y</t>
  </si>
  <si>
    <t>Entry Level Financial Administrator in Bromsgrove (B60) | Bell Cornwall - Totaljobs</t>
  </si>
  <si>
    <t>Entry Level Financial Administrator</t>
  </si>
  <si>
    <t>Bell Cornwall</t>
  </si>
  <si>
    <t xml:space="preserve">Bromsgrove </t>
  </si>
  <si>
    <t>https://www.indeed.com/rc/clk?jk=a8b9760c46df4483&amp;fccid=52f90de7b5346a08&amp;vjs=3</t>
  </si>
  <si>
    <t>Technical Support Specialist (Pension Analyst)</t>
  </si>
  <si>
    <t>Willis Towers Watson</t>
  </si>
  <si>
    <t>Analyst</t>
  </si>
  <si>
    <t>Minneapolis</t>
  </si>
  <si>
    <t>USA</t>
  </si>
  <si>
    <t>https://www.indeed.com/rc/clk?jk=7d0401f2e6d2c219&amp;fccid=0b74c73a7d280485&amp;vjs=3</t>
  </si>
  <si>
    <t>Jr Data Analyst - Apprentice</t>
  </si>
  <si>
    <t>Chubb INA Holdings Inc.</t>
  </si>
  <si>
    <t>Philadelphia</t>
  </si>
  <si>
    <t>https://www.indeed.com/rc/clk?jk=0ce4b68ee17d1201&amp;fccid=9f2bb83bd9bfe2fc&amp;vjs=3</t>
  </si>
  <si>
    <t>Intelligence Analyst</t>
  </si>
  <si>
    <t>Huntington Ingalls Industries Inc.</t>
  </si>
  <si>
    <t>Columbia</t>
  </si>
  <si>
    <t>https://www.indeed.com/rc/clk?jk=376401bba1bd6a58&amp;fccid=dd616958bd9ddc12&amp;vjs=3</t>
  </si>
  <si>
    <t>Program Analyst (Space Operations)</t>
  </si>
  <si>
    <t>US Headquarters, Air Force Space Command</t>
  </si>
  <si>
    <t>Vandenberg AFB</t>
  </si>
  <si>
    <t>https://www.glassdoor.co.uk/partner/jobListing.htm?pos=108&amp;ao=1110586&amp;s=58&amp;guid=0000017c2e6804688a7322af3fa22e8c&amp;src=GD_JOB_AD&amp;t=SR&amp;vt=w&amp;cs=1_61cf4576&amp;cb=1632866141677&amp;jobListingId=1006987268408&amp;cpc=451933188B21919D&amp;jrtk=2-0-1fgn6g159u59j801-1fgn6g1623o7o000-21eae231494f214b&amp;jvt=aHR0cHM6Ly91ay5pbmRlZWQuY29tL3JjL2dkL3BuZz9hPUh5MlI4ekNxUWl5QnJUQWhIcnRMaTN3RlZEYUJyUWlpeldIM2VBR1ZHTUdWRVJ6Z2JFdHdJUGd4OWtjd1drQmltTEpQUkRvMTQyMU5sV3ZLT2pRTHFIZU5KTHpPLUhLeEFRSERmeE5CdHNUNkgzeWYxUktSZTZoTW02LWhraENwb2J5MHJjMmNBTnlEU2dFMnRPQ3VOTjB4R1F1eEZmTGI3M3hQSl9jcGgzMm1MMGxMZTdMRjVLamExM2ZjSEZTcWVSdVZkc3JQSml1SnVZTXFqOEI5REE4eEZtcDJFOG1qZEpWRXRoaFRSYUVTemtCZURhd0FGLW02aDlEMng5YnVOeFJxdzlMRC0zSXd5c2JKNmU4aUsxeThxdlV3bFpBb3RZa1g0aDJCWGRyNE9fMHpBZWI3a0M5RnBvOWhFZnNVZFh6bjg4cnNjZ1N0V1BHdVhNVm5xT3A3Q0s1UEEtb0QxWDl0WFhkY19WM3Fic0dSS0tfZi1oVUZyUUlrc0o2ZV9yVHNjaFpRVkIyV2V1bmRBejNYQWVPcFZNb3lqZFlONWpLUTdVbDUxTlU5LXFVWnZIT19VWlNEWDVtdVYwR3d2cGFnX0U1b1EzenZkcUZqcnM4WDZyZU1uSm9pOEpzQVFJMEF5bDV4dWhRTEJoRkdCZnhVc2hNXzU2TF9KbXNlemdKWXE4UjJFSmVlS0U4NUNtWTN4ZXhzOWFIWlR3UXdpY210Y0F0TGlLb3BIMEpuSF8yU1ZRaEVOZFJ1OVMzZXJWNXJRajNZMzJaWlEzNG13WkV0Y1FFMVM1UkNjcUp5Tm0zSS00NjR2MXF1dFpERHRVcE94YVdCWXVvb2F0TURxQWlKQnNmNGcxeFphb0c1NllSZnJZcEdUbEFaT0FwUFdsY3FRd1VLMG9nekJJMWRQV2xZNlNuRjFuekRKQkFqMjlxZGNTRGVYVi10TEUtb2E1UHh6c2JmbUZqek55b2lnZ0VYVEtPNFhMVUlzdko0d0tTbGRiNUtDZkM4NHNoeTRSMkpBYjM4SVpOcW80MGlWSkZhdFVhZVQ3NkxZem5yeHJOUWlndThVWU0</t>
  </si>
  <si>
    <t>Graduate Technical Business Analyst</t>
  </si>
  <si>
    <t>Graduate Recruitment Bureau</t>
  </si>
  <si>
    <t>Birmingham</t>
  </si>
  <si>
    <t>2022 Deutsche Bank Analyst Graduate Programme - Technology Data &amp; Innovation - London - London - Indeed.com</t>
  </si>
  <si>
    <t>2022 Deutsche Bank Analyst Graduate Programme </t>
  </si>
  <si>
    <t>Deutsche Bank</t>
  </si>
  <si>
    <t>London</t>
  </si>
  <si>
    <t>https://www.indeed.com/rc/clk?jk=681d2c913e63d583&amp;fccid=bafa4b35e9cd20ce&amp;vjs=3</t>
  </si>
  <si>
    <t>Air Quality/Noise Scientist</t>
  </si>
  <si>
    <t>Natural Resources and Environmental Permitting Department</t>
  </si>
  <si>
    <t>Applied Scientist</t>
  </si>
  <si>
    <t>New York</t>
  </si>
  <si>
    <t>Mathematician - Fort Meade, MD - Indeed.com</t>
  </si>
  <si>
    <t>Mathematician</t>
  </si>
  <si>
    <t>National Security Agency</t>
  </si>
  <si>
    <t>Fort Meade</t>
  </si>
  <si>
    <t>https://www.indeed.com/rc/clk?jk=5e9edd7fa692a9a4&amp;fccid=4888145234349437&amp;vjs=3</t>
  </si>
  <si>
    <t>US Department of the Air Force - Agency Wide</t>
  </si>
  <si>
    <t>Eielson AFB</t>
  </si>
  <si>
    <t>https://www.indeed.com/rc/clk?jk=8840fa5941a584b3&amp;fccid=ba923b146fa75d0d&amp;vjs=3</t>
  </si>
  <si>
    <t>2022 Applied Mathematician/Physicist</t>
  </si>
  <si>
    <t>The Aerospace Corporation</t>
  </si>
  <si>
    <t>El Segundo</t>
  </si>
  <si>
    <t>https://www.indeed.com/rc/clk?jk=f2e1dc11bf881418&amp;fccid=4888145234349437&amp;vjs=3</t>
  </si>
  <si>
    <t>Alabama</t>
  </si>
  <si>
    <t>https://www.indeed.com/rc/clk?jk=010ed81869f9ba89&amp;fccid=4e69f24625edd7db&amp;vjs=3</t>
  </si>
  <si>
    <t>2022 Data Science Fellowship</t>
  </si>
  <si>
    <t>Institute for Defense Analyses</t>
  </si>
  <si>
    <t>Data Science</t>
  </si>
  <si>
    <t>Alexandria</t>
  </si>
  <si>
    <t>Mathematician Jobs, Employment | Indeed.com</t>
  </si>
  <si>
    <t>Mathematical Statistician- job post</t>
  </si>
  <si>
    <t>https://www.indeed.com/rc/clk?jk=192d7434bee52926&amp;fccid=e87c07079f6e369f&amp;vjs=3</t>
  </si>
  <si>
    <t>FIU Upward Bound Math/Science STEM Program AFVN</t>
  </si>
  <si>
    <t>AmeriCorps</t>
  </si>
  <si>
    <t>Other</t>
  </si>
  <si>
    <t>Miami</t>
  </si>
  <si>
    <t>https://www.glassdoor.co.uk/partner/jobListing.htm?pos=112&amp;ao=1136043&amp;s=58&amp;guid=0000017c2e6804688a7322af3fa22e8c&amp;src=GD_JOB_AD&amp;t=SR&amp;vt=w&amp;cs=1_10b1534d&amp;cb=1632866141679&amp;jobListingId=1007254528659&amp;jrtk=2-0-1fgn6g159u59j801-1fgn6g1623o7o000-bd4eefc86d532339</t>
  </si>
  <si>
    <t>2021 UK Technology Graduate Programme - Burgess Hill</t>
  </si>
  <si>
    <t>Amex</t>
  </si>
  <si>
    <t>Burgess Hill</t>
  </si>
  <si>
    <t>Mechanical Missile Architect Graduate 2022 in Stevenage, Hertfordshire | MBDA - Totaljobs</t>
  </si>
  <si>
    <t>Mechanical Missile Architect Graduate 2022</t>
  </si>
  <si>
    <t>MBDA</t>
  </si>
  <si>
    <t>Hertfordshire</t>
  </si>
  <si>
    <t>Freight Forwarding Apprentice - Kingston upon Hull - Indeed.com</t>
  </si>
  <si>
    <t>Freight Forwarding Apprentice</t>
  </si>
  <si>
    <t>JZ Flowers International Ltd</t>
  </si>
  <si>
    <t>Kingston upon Hull</t>
  </si>
  <si>
    <t>https://www.glassdoor.co.uk/partner/jobListing.htm?pos=129&amp;ao=1136043&amp;s=58&amp;guid=0000017c2e6804688a7322af3fa22e8c&amp;src=GD_JOB_AD&amp;t=SR&amp;vt=w&amp;cs=1_04623f1e&amp;cb=1632866141691&amp;jobListingId=1006952301455&amp;jrtk=2-0-1fgn6g159u59j801-1fgn6g1623o7o000-d1018edf5a6a5e16</t>
  </si>
  <si>
    <t>Quantitative Researcher</t>
  </si>
  <si>
    <t>G-Research</t>
  </si>
  <si>
    <t>Research</t>
  </si>
  <si>
    <t>https://www.indeed.com/rc/clk?jk=ff798d81eb6567db&amp;fccid=d274e1dce7158c48&amp;vjs=3</t>
  </si>
  <si>
    <t>Research Scientist</t>
  </si>
  <si>
    <t>ED Wallach Search Group</t>
  </si>
  <si>
    <t>Reston</t>
  </si>
  <si>
    <t>Business Systems Support Apprentice in Bentley Rise, Doncaster (DN5) | Saria - Totaljobs</t>
  </si>
  <si>
    <t>Business Systems Support Apprentice</t>
  </si>
  <si>
    <t>Saria</t>
  </si>
  <si>
    <t>Support</t>
  </si>
  <si>
    <t xml:space="preserve"> Doncaster</t>
  </si>
  <si>
    <t>https://www.indeed.com/rc/clk?jk=83e8554805989921&amp;fccid=3af51e892ea04a4a&amp;vjs=3</t>
  </si>
  <si>
    <t>Math Enrichment Tutor</t>
  </si>
  <si>
    <t>Rochester Public Schools</t>
  </si>
  <si>
    <t>Teacher</t>
  </si>
  <si>
    <t>Rochester</t>
  </si>
  <si>
    <t>https://www.indeed.com/rc/clk?jk=5121a5e2e6386359&amp;fccid=62d959495fb47d05&amp;vjs=3</t>
  </si>
  <si>
    <t>2021-2022 Math Teacher HS</t>
  </si>
  <si>
    <t>Spring Mountain J/SHS</t>
  </si>
  <si>
    <t>Las Vegas</t>
  </si>
  <si>
    <t>https://www.indeed.com/rc/clk?jk=34a430d83d67e227&amp;fccid=7340fb5bffd8c4f7&amp;vjs=3</t>
  </si>
  <si>
    <t>Middle School Instructional Assistant (Math)</t>
  </si>
  <si>
    <t>KIPP SoCal Public Schools</t>
  </si>
  <si>
    <t>Los Angeles</t>
  </si>
  <si>
    <t>https://www.indeed.com/rc/clk?jk=3a8c1abae03e20a6&amp;fccid=f2f952b171a5ad92&amp;vjs=3</t>
  </si>
  <si>
    <t>Lecturer - Contract Renewable, Non-Tenured/Tenure-Track -- Mathematical Sciences</t>
  </si>
  <si>
    <t>University of Northern Colorado</t>
  </si>
  <si>
    <t>Greeley</t>
  </si>
  <si>
    <t>https://www.indeed.com/rc/clk?jk=4082c6405b995fc4&amp;fccid=10b815c398ea434f&amp;vjs=3</t>
  </si>
  <si>
    <t>MN Math Corps Math Tutor</t>
  </si>
  <si>
    <t>Robbinsdale Area Schools</t>
  </si>
  <si>
    <t>New Hope</t>
  </si>
  <si>
    <t>https://www.indeed.com/rc/clk?jk=28f5fa0118a08ef5&amp;fccid=cd92aace04d1abc5&amp;vjs=3</t>
  </si>
  <si>
    <t>Math Tutor - True North Americorps</t>
  </si>
  <si>
    <t>Hermantown Community Schools</t>
  </si>
  <si>
    <t>Hermantown</t>
  </si>
  <si>
    <t>https://www.glassdoor.co.uk/partner/jobListing.htm?pos=107&amp;ao=1110586&amp;s=58&amp;guid=0000017c2e6804688a7322af3fa22e8c&amp;src=GD_JOB_AD&amp;t=SR&amp;vt=w&amp;ea=1&amp;cs=1_c81765d5&amp;cb=1632866141676&amp;jobListingId=1007304728672&amp;cpc=1FDE87803EF93CD3&amp;jrtk=2-0-1fgn6g159u59j801-1fgn6g1623o7o000-7b6182d4934e1594&amp;jvt=aHR0cHM6Ly91ay5pbmRlZWQuY29tL3JjL2dkL3BuZz9hPXg0T3QzZ25IcWJ5QnJUQWhIcnRMaTN3RlZEYUJyUWlpeldIM2VBR1ZHTUhXbm9veTE4TG0yVC1WSmJWQS1rZWgtQmlITFFTcmduOU5sV3ZLT2pRTHFIZU5KTHpPLUhLeEFRSERmeE5CdHNRZEc4cDlqRGItSEFMMlJIVVN1SHpCMkx2MlNiZmFQbU93cFlWOE5vX0MwVkI3RHdpU1NuSE1lNjZzSDd1MU1ZNWNMQm5PUkR1dDU5aEo5Mm80N0dWNG9TUjZOc0ZHVGFmMEt5RE4zaEd6SUNYX0s0NWdjR1FQM0FKOF9CcllhSmh6RVBnVmhFNEl5RnpmaFlfY2JZOHdsaWFpb3JTVGpuNU5QaGtsMm5JS3JlZWhQQXZDTV85Wk5lam9oUXNMZ192SDI0cDhpeVhkWFpreHY2VXR3RnJSeXFJTi0zR2UyZDZXU01SQ2xRWFkwVkZqNGhoSlgySDB5UEg1NnV5bEUxWm9lODVvY0c3RmxJSFN2T3J2bjdzemJkTHlHUHJlR093YzM1VEkzeDlaYWNVYW1yaFVzX1pxbzJYQklOa3RZSk5ieVpUVVJjdF9feXNubU9NUDRmTTdhX2liUWxYd1Q5SFE0elJSSDVtWlV5X2lCNjd1a3VOZjV6RTRETnN1WmJHWDhMMzNLUzd1X1cwODE5cXRFWGxCZEJUYXEwX09NU0I4OGRiSWMtU0VUOFcxQjdPTFZmanVPTTNMeEUyRmNfYkc1STRLRHdhSUtBWnlpNDA3Nnc1WmJZdzdaTEFZaEZNejdXY2Y4RjVkcnk1Vl85aE4wLUk0VkJ0ZjBoLVlhMndZNTRKWFl5eXk2MnhYY3FYU3k0V25CcGNyckpHRy1WdGRqU1VvWVRKdTZETUVqVjA5YVZqcEtjWFdmTU1rRUNQYjJwMXhJTjVkWDYwc1Q2aHJrX0hPeHQtWVdQTTNLaUtDQVJkTW83aGN0UWl5OG5qQXBLVjFZVHZORkZycnZKQ1FTNXcydEpTZFN6YkpvOUhsRTBYYUsybFRBU2lZVjlNZG1wWUVpcXllYXdPN3dFa052SF9x</t>
  </si>
  <si>
    <t>Graduate Trainee Lecturer - Math</t>
  </si>
  <si>
    <t>YourRecruit Group</t>
  </si>
  <si>
    <t>Redhill</t>
  </si>
  <si>
    <t>https://www.glassdoor.co.uk/partner/jobListing.htm?pos=111&amp;ao=1136043&amp;s=58&amp;guid=0000017c2e6804688a7322af3fa22e8c&amp;src=GD_JOB_AD&amp;t=SR&amp;vt=w&amp;cs=1_da5accb7&amp;cb=1632866141679&amp;jobListingId=1006845343140&amp;jrtk=2-0-1fgn6g159u59j801-1fgn6g1623o7o000-4283e675195a8913</t>
  </si>
  <si>
    <t>MATHEMATICS TUTOR</t>
  </si>
  <si>
    <t>Numbermix</t>
  </si>
  <si>
    <t>Amersham</t>
  </si>
  <si>
    <t>https://www.glassdoor.co.uk/partner/jobListing.htm?pos=202&amp;ao=1136043&amp;s=58&amp;guid=0000017c2e70b963b57639e4b5603b27&amp;src=GD_JOB_AD&amp;t=SR&amp;vt=w&amp;cs=1_7b418d1a&amp;cb=1632866712476&amp;jobListingId=1007324600021&amp;jrtk=2-0-1fgn71eisu59l801-1fgn71ejku4rm800-97d281c663faf2d8</t>
  </si>
  <si>
    <t>Tutor - Maths</t>
  </si>
  <si>
    <t>Leigh Academies Trust</t>
  </si>
  <si>
    <t>Blackheath</t>
  </si>
  <si>
    <t>https://www.glassdoor.co.uk/partner/jobListing.htm?pos=204&amp;ao=1136043&amp;s=58&amp;guid=0000017c2e70b963b57639e4b5603b27&amp;src=GD_JOB_AD&amp;t=SR&amp;vt=w&amp;cs=1_12846e55&amp;cb=1632866712477&amp;jobListingId=1006845343326&amp;jrtk=2-0-1fgn71eisu59l801-1fgn71ejku4rm800-6991bc5aaed79fdc</t>
  </si>
  <si>
    <t>MATHS AND/OR SCIENCE FACILITATOR</t>
  </si>
  <si>
    <t>Maths Graduate Teaching Assistant in West London (W3) | Ribbons and Reeves Limited - Totaljobs</t>
  </si>
  <si>
    <t>Maths Graduate Teaching Assistant</t>
  </si>
  <si>
    <t>Ribbons and Reeves Limited</t>
  </si>
  <si>
    <t>Mathematics Graduate in Hornchurch (RM11) | Clarus Education Ltd - Totaljobs</t>
  </si>
  <si>
    <t>Mathematics Graduate</t>
  </si>
  <si>
    <t>Clarus Education Ltd</t>
  </si>
  <si>
    <t>Hornchurch</t>
  </si>
  <si>
    <t>https://www.indeed.com/rc/clk?jk=288ed754a1774da9&amp;fccid=9a839421eaa36c15&amp;vjs=3</t>
  </si>
  <si>
    <t>Assistant Professor - Computational Mathematics</t>
  </si>
  <si>
    <t>Auburn University</t>
  </si>
  <si>
    <t>Montgomery</t>
  </si>
  <si>
    <t>https://www.indeed.com/rc/clk?jk=fc3a2505e4e02ef9&amp;fccid=9a839421eaa36c15&amp;vjs=3</t>
  </si>
  <si>
    <t>Assistant, Associate, or Full Professor - Partial Differential Equations</t>
  </si>
  <si>
    <t>https://www.indeed.com/rc/clk?jk=fc4270e7cf5713ef&amp;fccid=306f028923c9e104&amp;vjs=3</t>
  </si>
  <si>
    <t>Assistant Professor</t>
  </si>
  <si>
    <t>Cornell University</t>
  </si>
  <si>
    <t>Ithaca</t>
  </si>
  <si>
    <t>https://www.indeed.com/rc/clk?jk=41c5b0696671c71d&amp;fccid=a015205ad138ca75&amp;vjs=3</t>
  </si>
  <si>
    <t>Associate Staff</t>
  </si>
  <si>
    <t>MIT Lincoln Laboratory</t>
  </si>
  <si>
    <t>Lexington</t>
  </si>
  <si>
    <t>https://www.indeed.com/rc/clk?jk=713cd626c43bc138&amp;fccid=bafd8175ea01947f&amp;vjs=3</t>
  </si>
  <si>
    <t>Department of Mathematics Lecture Pool</t>
  </si>
  <si>
    <t>University of California Santa Barbara</t>
  </si>
  <si>
    <t>Santa Barbara</t>
  </si>
  <si>
    <t>Instructor Position - Bloomington, MN 55438 - Indeed.com</t>
  </si>
  <si>
    <t>Instructor Position</t>
  </si>
  <si>
    <t>Science From Scientists</t>
  </si>
  <si>
    <t>Bloomington</t>
  </si>
  <si>
    <t>Maths Teaching Assistant in West London (W2) | Clarus Education Ltd - Totaljobs</t>
  </si>
  <si>
    <t>Maths Teaching Assistant</t>
  </si>
  <si>
    <t>West London</t>
  </si>
  <si>
    <t>Maths Teacher in East London (E1) | Qualiteach Ltd - Totaljobs</t>
  </si>
  <si>
    <t>Maths Teacher</t>
  </si>
  <si>
    <t>Qualiteach Ltd</t>
  </si>
  <si>
    <t>East London</t>
  </si>
  <si>
    <t>Maths Tutor in Twickenham (TW1) | Ribbons and Reeves Limited - Totaljobs</t>
  </si>
  <si>
    <t>Maths Tutor</t>
  </si>
  <si>
    <t>Twickenham</t>
  </si>
  <si>
    <t>Maths Graduate Mentor in South East London (SE15) | i-teachers - Totaljobs</t>
  </si>
  <si>
    <t>Maths Graduate Mentor</t>
  </si>
  <si>
    <t>i-teachers</t>
  </si>
  <si>
    <t xml:space="preserve">South East London </t>
  </si>
  <si>
    <t>Maths Graduate Teaching Assistant in South East London (SE4) | i-teachers - Totaljobs</t>
  </si>
  <si>
    <t>Maths Graduate in Swiss Cottage, North West London (NW3) | Ribbons and Reeves Limited - Totaljobs</t>
  </si>
  <si>
    <t>Maths Graduate</t>
  </si>
  <si>
    <t>Swiss Cottage, North West London (NW3)</t>
  </si>
  <si>
    <t>https://www.indeed.com/rc/clk?jk=caf9c5435201bc33&amp;fccid=ab68ed48b7ae3b5f&amp;vjs=3</t>
  </si>
  <si>
    <t>Radiological Physics Technician I</t>
  </si>
  <si>
    <t>MD Anderson Cancer Center</t>
  </si>
  <si>
    <t>Technician</t>
  </si>
  <si>
    <t>Houston</t>
  </si>
  <si>
    <t>Laboratory Technician - Entry Level - Doncaster DN7 - Indeed.com</t>
  </si>
  <si>
    <t>Laboratory Technician - Entry Level</t>
  </si>
  <si>
    <t>Construction Testing Solutions</t>
  </si>
  <si>
    <t>Doncaster</t>
  </si>
  <si>
    <t>Site Technician - Entry Level - Doncaster DN7 - Indeed.com</t>
  </si>
  <si>
    <t>Site Technician - Entry Level</t>
  </si>
  <si>
    <t>Entry Level - Materials Testing Technician - Shetland ZE2 - Indeed.com</t>
  </si>
  <si>
    <t>Entry Level - Materials Testing Technician</t>
  </si>
  <si>
    <t>Shetland</t>
  </si>
  <si>
    <t>Additional qualifications needed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</si>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</sst>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£-809]* #,##0.00_-;\-[$£-809]* #,##0.00_-;_-[$£-809]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u/>
      <sz val="11"/>
      <color theme="10"/>
      <name val="Times New Roman"/>
      <family val="1"/>
    </font>
    <font>
      <sz val="26"/>
      <name val="Times New Roman"/>
      <family val="1"/>
    </font>
    <font>
      <b/>
      <sz val="26"/>
      <name val="Times New Roman"/>
      <family val="1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3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0" fontId="6" fillId="4" borderId="0" xfId="0" applyFont="1" applyFill="1"/>
    <xf numFmtId="0" fontId="8" fillId="2" borderId="0" xfId="0" applyFont="1" applyFill="1"/>
    <xf numFmtId="0" fontId="7" fillId="3" borderId="0" xfId="0" applyFont="1" applyFill="1"/>
    <xf numFmtId="0" fontId="7" fillId="2" borderId="0" xfId="0" applyFont="1" applyFill="1"/>
    <xf numFmtId="0" fontId="9" fillId="4" borderId="0" xfId="0" applyFont="1" applyFill="1"/>
    <xf numFmtId="0" fontId="10" fillId="2" borderId="0" xfId="2" applyFont="1" applyFill="1" applyAlignment="1">
      <alignment horizontal="right"/>
    </xf>
    <xf numFmtId="0" fontId="1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0" fontId="11" fillId="2" borderId="0" xfId="0" applyFont="1" applyFill="1"/>
    <xf numFmtId="0" fontId="10" fillId="2" borderId="0" xfId="0" applyFont="1" applyFill="1" applyAlignment="1">
      <alignment horizontal="right"/>
    </xf>
    <xf numFmtId="0" fontId="11" fillId="2" borderId="0" xfId="0" applyFont="1" applyFill="1" applyAlignment="1">
      <alignment horizontal="center" vertical="center"/>
    </xf>
    <xf numFmtId="164" fontId="11" fillId="2" borderId="0" xfId="1" applyNumberFormat="1" applyFont="1" applyFill="1" applyAlignment="1">
      <alignment horizontal="center"/>
    </xf>
    <xf numFmtId="0" fontId="12" fillId="2" borderId="0" xfId="2" applyFont="1" applyFill="1" applyAlignment="1">
      <alignment horizontal="right"/>
    </xf>
    <xf numFmtId="0" fontId="15" fillId="2" borderId="0" xfId="0" applyFont="1" applyFill="1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6600"/>
      <color rgb="FF3ADA36"/>
      <color rgb="FFB08600"/>
      <color rgb="FFFCFC0C"/>
      <color rgb="FF5DDCD9"/>
      <color rgb="FFCC7F2A"/>
      <color rgb="FF16D4CB"/>
      <color rgb="FF389443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42864</xdr:colOff>
      <xdr:row>3</xdr:row>
      <xdr:rowOff>1</xdr:rowOff>
    </xdr:from>
    <xdr:to>
      <xdr:col>11</xdr:col>
      <xdr:colOff>443352</xdr:colOff>
      <xdr:row>15</xdr:row>
      <xdr:rowOff>96988</xdr:rowOff>
    </xdr:to>
    <xdr:sp macro="" textlink="">
      <xdr:nvSpPr>
        <xdr:cNvPr id="2" name="Rectangle: Folded Corner 1">
          <a:extLst>
            <a:ext uri="{FF2B5EF4-FFF2-40B4-BE49-F238E27FC236}">
              <a16:creationId xmlns:a16="http://schemas.microsoft.com/office/drawing/2014/main" id="{360963F8-1D6D-4F2B-BE92-4819CF758E22}"/>
            </a:ext>
          </a:extLst>
        </xdr:cNvPr>
        <xdr:cNvSpPr/>
      </xdr:nvSpPr>
      <xdr:spPr>
        <a:xfrm>
          <a:off x="1341728" y="545525"/>
          <a:ext cx="2348784" cy="2279078"/>
        </a:xfrm>
        <a:prstGeom prst="foldedCorner">
          <a:avLst/>
        </a:prstGeom>
        <a:solidFill>
          <a:srgbClr val="FFFF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7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Average</a:t>
          </a:r>
          <a:r>
            <a:rPr lang="en-GB" sz="27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Pay</a:t>
          </a:r>
        </a:p>
        <a:p>
          <a:pPr algn="ctr"/>
          <a:endParaRPr lang="en-GB" sz="27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GB" sz="27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GB" sz="27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£24,471.97 </a:t>
          </a:r>
        </a:p>
      </xdr:txBody>
    </xdr:sp>
    <xdr:clientData/>
  </xdr:twoCellAnchor>
  <xdr:twoCellAnchor>
    <xdr:from>
      <xdr:col>13</xdr:col>
      <xdr:colOff>48061</xdr:colOff>
      <xdr:row>2</xdr:row>
      <xdr:rowOff>169720</xdr:rowOff>
    </xdr:from>
    <xdr:to>
      <xdr:col>16</xdr:col>
      <xdr:colOff>448551</xdr:colOff>
      <xdr:row>15</xdr:row>
      <xdr:rowOff>84865</xdr:rowOff>
    </xdr:to>
    <xdr:sp macro="" textlink="">
      <xdr:nvSpPr>
        <xdr:cNvPr id="11" name="Rectangle: Folded Corner 10">
          <a:extLst>
            <a:ext uri="{FF2B5EF4-FFF2-40B4-BE49-F238E27FC236}">
              <a16:creationId xmlns:a16="http://schemas.microsoft.com/office/drawing/2014/main" id="{3C84E30C-55FA-4060-A5D7-055C9E1A9417}"/>
            </a:ext>
          </a:extLst>
        </xdr:cNvPr>
        <xdr:cNvSpPr/>
      </xdr:nvSpPr>
      <xdr:spPr>
        <a:xfrm>
          <a:off x="4594085" y="533402"/>
          <a:ext cx="2348784" cy="2279078"/>
        </a:xfrm>
        <a:prstGeom prst="foldedCorne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Standard Dev. </a:t>
          </a:r>
          <a:r>
            <a:rPr lang="en-GB" sz="2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of Pay:</a:t>
          </a:r>
        </a:p>
        <a:p>
          <a:pPr algn="ctr"/>
          <a:endParaRPr lang="en-GB" sz="28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GB" sz="2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£12,149.44 </a:t>
          </a:r>
        </a:p>
      </xdr:txBody>
    </xdr:sp>
    <xdr:clientData/>
  </xdr:twoCellAnchor>
  <xdr:twoCellAnchor>
    <xdr:from>
      <xdr:col>17</xdr:col>
      <xdr:colOff>572796</xdr:colOff>
      <xdr:row>3</xdr:row>
      <xdr:rowOff>1732</xdr:rowOff>
    </xdr:from>
    <xdr:to>
      <xdr:col>21</xdr:col>
      <xdr:colOff>323853</xdr:colOff>
      <xdr:row>15</xdr:row>
      <xdr:rowOff>98719</xdr:rowOff>
    </xdr:to>
    <xdr:sp macro="" textlink="">
      <xdr:nvSpPr>
        <xdr:cNvPr id="12" name="Rectangle: Folded Corner 11">
          <a:extLst>
            <a:ext uri="{FF2B5EF4-FFF2-40B4-BE49-F238E27FC236}">
              <a16:creationId xmlns:a16="http://schemas.microsoft.com/office/drawing/2014/main" id="{6A25328F-6F41-4183-AC78-35CA32062C3D}"/>
            </a:ext>
          </a:extLst>
        </xdr:cNvPr>
        <xdr:cNvSpPr/>
      </xdr:nvSpPr>
      <xdr:spPr>
        <a:xfrm>
          <a:off x="7759841" y="547256"/>
          <a:ext cx="2348785" cy="2279078"/>
        </a:xfrm>
        <a:prstGeom prst="foldedCorner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Most </a:t>
          </a:r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common</a:t>
          </a:r>
          <a:r>
            <a:rPr lang="en-GB" sz="2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job sector:</a:t>
          </a:r>
        </a:p>
        <a:p>
          <a:pPr algn="ctr"/>
          <a:endParaRPr lang="en-GB" sz="2400" baseline="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GB" sz="2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Teacher</a:t>
          </a:r>
        </a:p>
      </xdr:txBody>
    </xdr:sp>
    <xdr:clientData/>
  </xdr:twoCellAnchor>
  <xdr:twoCellAnchor>
    <xdr:from>
      <xdr:col>10</xdr:col>
      <xdr:colOff>541628</xdr:colOff>
      <xdr:row>18</xdr:row>
      <xdr:rowOff>13850</xdr:rowOff>
    </xdr:from>
    <xdr:to>
      <xdr:col>14</xdr:col>
      <xdr:colOff>292684</xdr:colOff>
      <xdr:row>30</xdr:row>
      <xdr:rowOff>110837</xdr:rowOff>
    </xdr:to>
    <xdr:sp macro="" textlink="">
      <xdr:nvSpPr>
        <xdr:cNvPr id="13" name="Rectangle: Folded Corner 12">
          <a:extLst>
            <a:ext uri="{FF2B5EF4-FFF2-40B4-BE49-F238E27FC236}">
              <a16:creationId xmlns:a16="http://schemas.microsoft.com/office/drawing/2014/main" id="{CE7B7355-A58D-45EC-8BD2-18C04E528AC9}"/>
            </a:ext>
          </a:extLst>
        </xdr:cNvPr>
        <xdr:cNvSpPr/>
      </xdr:nvSpPr>
      <xdr:spPr>
        <a:xfrm>
          <a:off x="3139355" y="3286986"/>
          <a:ext cx="2348784" cy="2296396"/>
        </a:xfrm>
        <a:prstGeom prst="foldedCorner">
          <a:avLst/>
        </a:prstGeom>
        <a:solidFill>
          <a:srgbClr val="66FF33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Highest</a:t>
          </a:r>
          <a:r>
            <a:rPr lang="en-GB" sz="2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Pay:</a:t>
          </a:r>
        </a:p>
        <a:p>
          <a:pPr algn="ctr"/>
          <a:endParaRPr lang="en-GB" sz="2800" b="0" i="0" u="none" strike="noStrike">
            <a:solidFill>
              <a:schemeClr val="tx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GB" sz="1100" b="0" i="0" u="none" strike="noStrike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GB" sz="28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£53,601.25 </a:t>
          </a:r>
          <a:endParaRPr lang="en-GB" sz="2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20</xdr:col>
      <xdr:colOff>422126</xdr:colOff>
      <xdr:row>18</xdr:row>
      <xdr:rowOff>15581</xdr:rowOff>
    </xdr:from>
    <xdr:to>
      <xdr:col>24</xdr:col>
      <xdr:colOff>173184</xdr:colOff>
      <xdr:row>30</xdr:row>
      <xdr:rowOff>112568</xdr:rowOff>
    </xdr:to>
    <xdr:sp macro="" textlink="">
      <xdr:nvSpPr>
        <xdr:cNvPr id="15" name="Rectangle: Folded Corner 14">
          <a:extLst>
            <a:ext uri="{FF2B5EF4-FFF2-40B4-BE49-F238E27FC236}">
              <a16:creationId xmlns:a16="http://schemas.microsoft.com/office/drawing/2014/main" id="{730BC330-88F1-4E5D-B7B2-B0758856559E}"/>
            </a:ext>
          </a:extLst>
        </xdr:cNvPr>
        <xdr:cNvSpPr/>
      </xdr:nvSpPr>
      <xdr:spPr>
        <a:xfrm>
          <a:off x="9557468" y="3288717"/>
          <a:ext cx="2348785" cy="2296396"/>
        </a:xfrm>
        <a:prstGeom prst="foldedCorner">
          <a:avLst/>
        </a:prstGeom>
        <a:solidFill>
          <a:srgbClr val="33CCFF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31</a:t>
          </a:r>
          <a:r>
            <a:rPr lang="en-GB" sz="2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of 51 Jobs would require at least a </a:t>
          </a:r>
          <a:r>
            <a:rPr lang="en-GB" sz="2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Bachelor Degree</a:t>
          </a:r>
          <a:endParaRPr lang="en-GB" sz="2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181838</xdr:colOff>
      <xdr:row>27</xdr:row>
      <xdr:rowOff>69271</xdr:rowOff>
    </xdr:from>
    <xdr:to>
      <xdr:col>13</xdr:col>
      <xdr:colOff>432951</xdr:colOff>
      <xdr:row>29</xdr:row>
      <xdr:rowOff>95248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DD130BE3-84F5-4A4D-9513-03A5417FF0E2}"/>
            </a:ext>
          </a:extLst>
        </xdr:cNvPr>
        <xdr:cNvSpPr/>
      </xdr:nvSpPr>
      <xdr:spPr>
        <a:xfrm>
          <a:off x="3428998" y="4978976"/>
          <a:ext cx="1549977" cy="406977"/>
        </a:xfrm>
        <a:prstGeom prst="rect">
          <a:avLst/>
        </a:prstGeom>
        <a:solidFill>
          <a:schemeClr val="bg1">
            <a:lumMod val="85000"/>
          </a:schemeClr>
        </a:solidFill>
        <a:ln w="381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Job : NSA</a:t>
          </a:r>
        </a:p>
      </xdr:txBody>
    </xdr:sp>
    <xdr:clientData/>
  </xdr:twoCellAnchor>
  <xdr:twoCellAnchor>
    <xdr:from>
      <xdr:col>15</xdr:col>
      <xdr:colOff>590116</xdr:colOff>
      <xdr:row>18</xdr:row>
      <xdr:rowOff>19044</xdr:rowOff>
    </xdr:from>
    <xdr:to>
      <xdr:col>19</xdr:col>
      <xdr:colOff>297878</xdr:colOff>
      <xdr:row>30</xdr:row>
      <xdr:rowOff>116031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EA709B9-BABE-449D-9108-AE7E30B2B375}"/>
            </a:ext>
          </a:extLst>
        </xdr:cNvPr>
        <xdr:cNvGrpSpPr/>
      </xdr:nvGrpSpPr>
      <xdr:grpSpPr>
        <a:xfrm>
          <a:off x="10273867" y="3257544"/>
          <a:ext cx="2332429" cy="2351238"/>
          <a:chOff x="6313781" y="3067047"/>
          <a:chExt cx="2348784" cy="2296396"/>
        </a:xfrm>
      </xdr:grpSpPr>
      <xdr:sp macro="" textlink="">
        <xdr:nvSpPr>
          <xdr:cNvPr id="14" name="Rectangle: Folded Corner 13">
            <a:extLst>
              <a:ext uri="{FF2B5EF4-FFF2-40B4-BE49-F238E27FC236}">
                <a16:creationId xmlns:a16="http://schemas.microsoft.com/office/drawing/2014/main" id="{012274F7-6B25-49A1-8F04-669ECB65357F}"/>
              </a:ext>
            </a:extLst>
          </xdr:cNvPr>
          <xdr:cNvSpPr/>
        </xdr:nvSpPr>
        <xdr:spPr>
          <a:xfrm>
            <a:off x="6313781" y="3067047"/>
            <a:ext cx="2348784" cy="2296396"/>
          </a:xfrm>
          <a:prstGeom prst="foldedCorner">
            <a:avLst/>
          </a:prstGeom>
          <a:solidFill>
            <a:srgbClr val="FF0000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reflection blurRad="6350" stA="50000" endA="300" endPos="550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Lowest</a:t>
            </a:r>
            <a:r>
              <a:rPr lang="en-GB" sz="28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Pay:</a:t>
            </a:r>
          </a:p>
          <a:p>
            <a:pPr algn="ctr"/>
            <a:endParaRPr lang="en-GB" sz="2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28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GB" sz="2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£14,000.00 </a:t>
            </a:r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D8C8919C-E25C-4668-ABAF-AE53CD825A5F}"/>
              </a:ext>
            </a:extLst>
          </xdr:cNvPr>
          <xdr:cNvSpPr/>
        </xdr:nvSpPr>
        <xdr:spPr>
          <a:xfrm>
            <a:off x="6529618" y="4680774"/>
            <a:ext cx="1523906" cy="565657"/>
          </a:xfrm>
          <a:prstGeom prst="rect">
            <a:avLst/>
          </a:prstGeom>
          <a:solidFill>
            <a:schemeClr val="bg1">
              <a:lumMod val="85000"/>
            </a:schemeClr>
          </a:solidFill>
          <a:ln w="38100"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Job(s) : View comment</a:t>
            </a:r>
          </a:p>
        </xdr:txBody>
      </xdr:sp>
    </xdr:grpSp>
    <xdr:clientData/>
  </xdr:twoCellAnchor>
  <xdr:twoCellAnchor>
    <xdr:from>
      <xdr:col>18</xdr:col>
      <xdr:colOff>292255</xdr:colOff>
      <xdr:row>34</xdr:row>
      <xdr:rowOff>93506</xdr:rowOff>
    </xdr:from>
    <xdr:to>
      <xdr:col>22</xdr:col>
      <xdr:colOff>43312</xdr:colOff>
      <xdr:row>47</xdr:row>
      <xdr:rowOff>8651</xdr:rowOff>
    </xdr:to>
    <xdr:sp macro="" textlink="">
      <xdr:nvSpPr>
        <xdr:cNvPr id="17" name="Rectangle: Folded Corner 16">
          <a:extLst>
            <a:ext uri="{FF2B5EF4-FFF2-40B4-BE49-F238E27FC236}">
              <a16:creationId xmlns:a16="http://schemas.microsoft.com/office/drawing/2014/main" id="{F947E207-82A0-4F95-991B-21ED14BECD4A}"/>
            </a:ext>
          </a:extLst>
        </xdr:cNvPr>
        <xdr:cNvSpPr/>
      </xdr:nvSpPr>
      <xdr:spPr>
        <a:xfrm>
          <a:off x="8128733" y="6293415"/>
          <a:ext cx="2348784" cy="2279078"/>
        </a:xfrm>
        <a:prstGeom prst="foldedCorner">
          <a:avLst/>
        </a:prstGeom>
        <a:solidFill>
          <a:srgbClr val="FFC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6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Least in demand </a:t>
          </a:r>
          <a:r>
            <a:rPr lang="en-GB" sz="2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skill</a:t>
          </a:r>
          <a:r>
            <a:rPr lang="en-GB" sz="26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</a:p>
        <a:p>
          <a:pPr algn="ctr"/>
          <a:endParaRPr lang="en-GB" sz="26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Bilingualism </a:t>
          </a:r>
        </a:p>
      </xdr:txBody>
    </xdr:sp>
    <xdr:clientData/>
  </xdr:twoCellAnchor>
  <xdr:twoCellAnchor>
    <xdr:from>
      <xdr:col>13</xdr:col>
      <xdr:colOff>349400</xdr:colOff>
      <xdr:row>34</xdr:row>
      <xdr:rowOff>90042</xdr:rowOff>
    </xdr:from>
    <xdr:to>
      <xdr:col>17</xdr:col>
      <xdr:colOff>57163</xdr:colOff>
      <xdr:row>47</xdr:row>
      <xdr:rowOff>5187</xdr:rowOff>
    </xdr:to>
    <xdr:sp macro="" textlink="">
      <xdr:nvSpPr>
        <xdr:cNvPr id="47" name="Rectangle: Folded Corner 46">
          <a:extLst>
            <a:ext uri="{FF2B5EF4-FFF2-40B4-BE49-F238E27FC236}">
              <a16:creationId xmlns:a16="http://schemas.microsoft.com/office/drawing/2014/main" id="{B968A41F-FE0E-4AB9-8011-1536809CFAAD}"/>
            </a:ext>
          </a:extLst>
        </xdr:cNvPr>
        <xdr:cNvSpPr/>
      </xdr:nvSpPr>
      <xdr:spPr>
        <a:xfrm>
          <a:off x="4895424" y="6289951"/>
          <a:ext cx="2348784" cy="2279078"/>
        </a:xfrm>
        <a:prstGeom prst="foldedCorner">
          <a:avLst/>
        </a:prstGeom>
        <a:solidFill>
          <a:srgbClr val="66FF99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Most wanted</a:t>
          </a:r>
          <a:r>
            <a:rPr lang="en-GB" sz="2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2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skill</a:t>
          </a:r>
          <a:r>
            <a:rPr lang="en-GB" sz="2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:</a:t>
          </a:r>
        </a:p>
        <a:p>
          <a:pPr algn="ctr"/>
          <a:endParaRPr lang="en-GB" sz="2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Leadership</a:t>
          </a:r>
          <a:r>
            <a:rPr lang="en-GB" sz="2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GB" sz="2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113000</xdr:colOff>
      <xdr:row>2</xdr:row>
      <xdr:rowOff>32818</xdr:rowOff>
    </xdr:from>
    <xdr:to>
      <xdr:col>5</xdr:col>
      <xdr:colOff>243704</xdr:colOff>
      <xdr:row>12</xdr:row>
      <xdr:rowOff>163225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76B8E736-1E38-4D8E-8FBC-A45F2C0F3B4D}"/>
            </a:ext>
          </a:extLst>
        </xdr:cNvPr>
        <xdr:cNvGrpSpPr/>
      </xdr:nvGrpSpPr>
      <xdr:grpSpPr>
        <a:xfrm>
          <a:off x="762433" y="396500"/>
          <a:ext cx="2728431" cy="1948816"/>
          <a:chOff x="2035320" y="1089227"/>
          <a:chExt cx="2728432" cy="1948816"/>
        </a:xfrm>
        <a:gradFill flip="none" rotWithShape="1">
          <a:gsLst>
            <a:gs pos="0">
              <a:srgbClr val="3ADA36">
                <a:shade val="30000"/>
                <a:satMod val="115000"/>
              </a:srgbClr>
            </a:gs>
            <a:gs pos="50000">
              <a:srgbClr val="3ADA36">
                <a:shade val="67500"/>
                <a:satMod val="115000"/>
              </a:srgbClr>
            </a:gs>
            <a:gs pos="100000">
              <a:srgbClr val="3ADA36">
                <a:shade val="100000"/>
                <a:satMod val="115000"/>
              </a:srgbClr>
            </a:gs>
          </a:gsLst>
          <a:lin ang="2700000" scaled="1"/>
          <a:tileRect/>
        </a:gradFill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50800" stA="50000" endA="300" endPos="90000" dist="50800" dir="5400000" sy="-100000" algn="bl" rotWithShape="0"/>
        </a:effectLst>
      </xdr:grpSpPr>
      <xdr:sp macro="[0]!AveragePay" textlink="">
        <xdr:nvSpPr>
          <xdr:cNvPr id="4" name="Rectangle: Diagonal Corners Rounded 3">
            <a:extLst>
              <a:ext uri="{FF2B5EF4-FFF2-40B4-BE49-F238E27FC236}">
                <a16:creationId xmlns:a16="http://schemas.microsoft.com/office/drawing/2014/main" id="{B17862E2-1078-4B81-8ED2-BCEA1AC5D540}"/>
              </a:ext>
            </a:extLst>
          </xdr:cNvPr>
          <xdr:cNvSpPr/>
        </xdr:nvSpPr>
        <xdr:spPr>
          <a:xfrm>
            <a:off x="2035320" y="1194758"/>
            <a:ext cx="2728432" cy="1843285"/>
          </a:xfrm>
          <a:prstGeom prst="round2DiagRect">
            <a:avLst/>
          </a:prstGeom>
          <a:grpFill/>
          <a:ln w="57150">
            <a:solidFill>
              <a:schemeClr val="tx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Average</a:t>
            </a:r>
            <a:r>
              <a:rPr lang="en-GB" sz="16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pay between the </a:t>
            </a:r>
          </a:p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USA &amp;</a:t>
            </a:r>
            <a:r>
              <a:rPr lang="en-GB" sz="16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UK</a:t>
            </a:r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 macro="[0]!AveragePay">
        <xdr:nvPicPr>
          <xdr:cNvPr id="3" name="Graphic 2" descr="Map with pin outline">
            <a:extLst>
              <a:ext uri="{FF2B5EF4-FFF2-40B4-BE49-F238E27FC236}">
                <a16:creationId xmlns:a16="http://schemas.microsoft.com/office/drawing/2014/main" id="{97535920-7D54-4CE1-A063-88F670A2CE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706602" y="1089227"/>
            <a:ext cx="1385870" cy="1350804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142875</xdr:colOff>
      <xdr:row>15</xdr:row>
      <xdr:rowOff>152399</xdr:rowOff>
    </xdr:from>
    <xdr:to>
      <xdr:col>28</xdr:col>
      <xdr:colOff>95251</xdr:colOff>
      <xdr:row>22</xdr:row>
      <xdr:rowOff>57150</xdr:rowOff>
    </xdr:to>
    <xdr:sp macro="[0]!ClearText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2C9832F9-FE49-47AA-A17C-E4B74B46786D}"/>
            </a:ext>
          </a:extLst>
        </xdr:cNvPr>
        <xdr:cNvSpPr/>
      </xdr:nvSpPr>
      <xdr:spPr>
        <a:xfrm>
          <a:off x="16335375" y="2867025"/>
          <a:ext cx="1895476" cy="1171575"/>
        </a:xfrm>
        <a:prstGeom prst="round2DiagRect">
          <a:avLst/>
        </a:prstGeom>
        <a:gradFill flip="none" rotWithShape="1">
          <a:gsLst>
            <a:gs pos="0">
              <a:srgbClr val="5DDCD9">
                <a:shade val="30000"/>
                <a:satMod val="115000"/>
              </a:srgbClr>
            </a:gs>
            <a:gs pos="50000">
              <a:srgbClr val="5DDCD9">
                <a:shade val="67500"/>
                <a:satMod val="115000"/>
              </a:srgbClr>
            </a:gs>
            <a:gs pos="100000">
              <a:srgbClr val="5DDCD9">
                <a:shade val="100000"/>
                <a:satMod val="115000"/>
              </a:srgbClr>
            </a:gs>
          </a:gsLst>
          <a:lin ang="2700000" scaled="1"/>
          <a:tileRect/>
        </a:gradFill>
        <a:ln w="38100">
          <a:solidFill>
            <a:schemeClr val="tx1"/>
          </a:solidFill>
        </a:ln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152400" stA="32000" endPos="38000" dist="152400" dir="5400000" sy="-100000" algn="bl" rotWithShape="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Text</a:t>
          </a:r>
          <a:endParaRPr lang="en-GB" sz="2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447674</xdr:colOff>
      <xdr:row>16</xdr:row>
      <xdr:rowOff>9525</xdr:rowOff>
    </xdr:from>
    <xdr:to>
      <xdr:col>8</xdr:col>
      <xdr:colOff>76199</xdr:colOff>
      <xdr:row>28</xdr:row>
      <xdr:rowOff>161925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3649F58D-CA01-4DCA-93DA-896FCEB97ED0}"/>
            </a:ext>
          </a:extLst>
        </xdr:cNvPr>
        <xdr:cNvGrpSpPr/>
      </xdr:nvGrpSpPr>
      <xdr:grpSpPr>
        <a:xfrm>
          <a:off x="3045401" y="2918980"/>
          <a:ext cx="2226253" cy="2334490"/>
          <a:chOff x="15925799" y="4429125"/>
          <a:chExt cx="2219325" cy="2324100"/>
        </a:xfrm>
        <a:effectLst>
          <a:reflection blurRad="152400" stA="94000" endPos="32000" dist="50800" dir="5400000" sy="-100000" algn="bl" rotWithShape="0"/>
        </a:effectLst>
      </xdr:grpSpPr>
      <xdr:sp macro="[0]!SalarySkill" textlink="">
        <xdr:nvSpPr>
          <xdr:cNvPr id="12" name="Rectangle: Folded Corner 11">
            <a:extLst>
              <a:ext uri="{FF2B5EF4-FFF2-40B4-BE49-F238E27FC236}">
                <a16:creationId xmlns:a16="http://schemas.microsoft.com/office/drawing/2014/main" id="{CC6CE40B-B850-4376-B15A-A6A9AE86B4EF}"/>
              </a:ext>
            </a:extLst>
          </xdr:cNvPr>
          <xdr:cNvSpPr/>
        </xdr:nvSpPr>
        <xdr:spPr>
          <a:xfrm>
            <a:off x="15925799" y="4429125"/>
            <a:ext cx="2219325" cy="2324100"/>
          </a:xfrm>
          <a:prstGeom prst="foldedCorner">
            <a:avLst/>
          </a:prstGeom>
          <a:gradFill flip="none" rotWithShape="1">
            <a:gsLst>
              <a:gs pos="0">
                <a:srgbClr val="FFC000">
                  <a:shade val="30000"/>
                  <a:satMod val="115000"/>
                </a:srgbClr>
              </a:gs>
              <a:gs pos="50000">
                <a:srgbClr val="FFC000">
                  <a:shade val="67500"/>
                  <a:satMod val="115000"/>
                </a:srgbClr>
              </a:gs>
              <a:gs pos="100000">
                <a:srgbClr val="FFC000">
                  <a:shade val="100000"/>
                  <a:satMod val="115000"/>
                </a:srgbClr>
              </a:gs>
            </a:gsLst>
            <a:lin ang="5400000" scaled="1"/>
            <a:tileRect/>
          </a:gradFill>
          <a:ln w="38100">
            <a:solidFill>
              <a:schemeClr val="tx1"/>
            </a:solidFill>
          </a:ln>
          <a:effectLst>
            <a:reflection blurRad="88900" stA="50000" endA="300" endPos="90000" dist="5080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2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Salary based off of skill</a:t>
            </a:r>
          </a:p>
        </xdr:txBody>
      </xdr:sp>
      <xdr:pic macro="[0]!SalarySkill">
        <xdr:nvPicPr>
          <xdr:cNvPr id="20" name="Graphic 19" descr="Flying Money with solid fill">
            <a:extLst>
              <a:ext uri="{FF2B5EF4-FFF2-40B4-BE49-F238E27FC236}">
                <a16:creationId xmlns:a16="http://schemas.microsoft.com/office/drawing/2014/main" id="{D1140E6F-03DC-4481-A331-2D68B4898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602075" y="56864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477117</xdr:colOff>
      <xdr:row>31</xdr:row>
      <xdr:rowOff>32495</xdr:rowOff>
    </xdr:from>
    <xdr:to>
      <xdr:col>4</xdr:col>
      <xdr:colOff>607820</xdr:colOff>
      <xdr:row>41</xdr:row>
      <xdr:rowOff>105638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7B16656-28DC-4C69-9D47-0F9E3661BFF8}"/>
            </a:ext>
          </a:extLst>
        </xdr:cNvPr>
        <xdr:cNvGrpSpPr/>
      </xdr:nvGrpSpPr>
      <xdr:grpSpPr>
        <a:xfrm>
          <a:off x="477117" y="5669564"/>
          <a:ext cx="2728430" cy="1891552"/>
          <a:chOff x="2028826" y="4131710"/>
          <a:chExt cx="2728432" cy="1891552"/>
        </a:xfrm>
        <a:gradFill flip="none" rotWithShape="1">
          <a:gsLst>
            <a:gs pos="0">
              <a:srgbClr val="3ADA36">
                <a:shade val="30000"/>
                <a:satMod val="115000"/>
              </a:srgbClr>
            </a:gs>
            <a:gs pos="50000">
              <a:srgbClr val="3ADA36">
                <a:shade val="67500"/>
                <a:satMod val="115000"/>
              </a:srgbClr>
            </a:gs>
            <a:gs pos="100000">
              <a:srgbClr val="3ADA36">
                <a:shade val="100000"/>
                <a:satMod val="115000"/>
              </a:srgbClr>
            </a:gs>
          </a:gsLst>
          <a:lin ang="2700000" scaled="1"/>
          <a:tileRect/>
        </a:gradFill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50800" stA="50000" endA="300" endPos="90000" dist="50800" dir="5400000" sy="-100000" algn="bl" rotWithShape="0"/>
        </a:effectLst>
      </xdr:grpSpPr>
      <xdr:sp macro="[0]!CompareJobLocation" textlink="">
        <xdr:nvSpPr>
          <xdr:cNvPr id="5" name="Rectangle: Diagonal Corners Rounded 4">
            <a:extLst>
              <a:ext uri="{FF2B5EF4-FFF2-40B4-BE49-F238E27FC236}">
                <a16:creationId xmlns:a16="http://schemas.microsoft.com/office/drawing/2014/main" id="{35B68869-B26C-470C-8E18-D2EAC8B508C6}"/>
              </a:ext>
            </a:extLst>
          </xdr:cNvPr>
          <xdr:cNvSpPr/>
        </xdr:nvSpPr>
        <xdr:spPr>
          <a:xfrm>
            <a:off x="2028826" y="4180932"/>
            <a:ext cx="2728432" cy="1842330"/>
          </a:xfrm>
          <a:prstGeom prst="round2DiagRect">
            <a:avLst/>
          </a:prstGeom>
          <a:grpFill/>
          <a:ln w="57150">
            <a:solidFill>
              <a:schemeClr val="tx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Compare number</a:t>
            </a:r>
            <a:r>
              <a:rPr lang="en-GB" sz="16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jobs between USA &amp; UK</a:t>
            </a:r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 macro="[0]!CompareJobLocation">
        <xdr:nvPicPr>
          <xdr:cNvPr id="11" name="Graphic 10" descr="Briefcase outline">
            <a:extLst>
              <a:ext uri="{FF2B5EF4-FFF2-40B4-BE49-F238E27FC236}">
                <a16:creationId xmlns:a16="http://schemas.microsoft.com/office/drawing/2014/main" id="{462AEFE3-E1D8-4B45-8FD6-0A0BDBAEE9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78451" y="4131710"/>
            <a:ext cx="1385870" cy="135010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466085</xdr:colOff>
      <xdr:row>3</xdr:row>
      <xdr:rowOff>137434</xdr:rowOff>
    </xdr:from>
    <xdr:to>
      <xdr:col>12</xdr:col>
      <xdr:colOff>596791</xdr:colOff>
      <xdr:row>13</xdr:row>
      <xdr:rowOff>162077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E0B0FDB-5BB5-4745-9C76-F5EAFA6B486C}"/>
            </a:ext>
          </a:extLst>
        </xdr:cNvPr>
        <xdr:cNvGrpSpPr/>
      </xdr:nvGrpSpPr>
      <xdr:grpSpPr>
        <a:xfrm>
          <a:off x="5661540" y="682958"/>
          <a:ext cx="2728433" cy="1843052"/>
          <a:chOff x="6130530" y="1157343"/>
          <a:chExt cx="2724436" cy="1819739"/>
        </a:xfrm>
        <a:gradFill flip="none" rotWithShape="1">
          <a:gsLst>
            <a:gs pos="0">
              <a:srgbClr val="3ADA36">
                <a:shade val="30000"/>
                <a:satMod val="115000"/>
              </a:srgbClr>
            </a:gs>
            <a:gs pos="50000">
              <a:srgbClr val="3ADA36">
                <a:shade val="67500"/>
                <a:satMod val="115000"/>
              </a:srgbClr>
            </a:gs>
            <a:gs pos="100000">
              <a:srgbClr val="3ADA36">
                <a:shade val="100000"/>
                <a:satMod val="115000"/>
              </a:srgbClr>
            </a:gs>
          </a:gsLst>
          <a:lin ang="2700000" scaled="1"/>
          <a:tileRect/>
        </a:gradFill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50800" stA="50000" endA="300" endPos="90000" dist="50800" dir="5400000" sy="-100000" algn="bl" rotWithShape="0"/>
        </a:effectLst>
      </xdr:grpSpPr>
      <xdr:sp macro="[0]!skillswanted" textlink="">
        <xdr:nvSpPr>
          <xdr:cNvPr id="13" name="Rectangle: Diagonal Corners Rounded 12">
            <a:extLst>
              <a:ext uri="{FF2B5EF4-FFF2-40B4-BE49-F238E27FC236}">
                <a16:creationId xmlns:a16="http://schemas.microsoft.com/office/drawing/2014/main" id="{A87E6F69-5EAC-463D-8C60-5D49BB8DF127}"/>
              </a:ext>
            </a:extLst>
          </xdr:cNvPr>
          <xdr:cNvSpPr/>
        </xdr:nvSpPr>
        <xdr:spPr>
          <a:xfrm>
            <a:off x="6130530" y="1157343"/>
            <a:ext cx="2724436" cy="1819739"/>
          </a:xfrm>
          <a:prstGeom prst="round2DiagRect">
            <a:avLst/>
          </a:prstGeom>
          <a:grpFill/>
          <a:ln w="57150">
            <a:solidFill>
              <a:schemeClr val="tx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Skills most in demand</a:t>
            </a:r>
          </a:p>
        </xdr:txBody>
      </xdr:sp>
      <xdr:pic macro="[0]!skillswanted">
        <xdr:nvPicPr>
          <xdr:cNvPr id="15" name="Graphic 14" descr="Mental Health outline">
            <a:extLst>
              <a:ext uri="{FF2B5EF4-FFF2-40B4-BE49-F238E27FC236}">
                <a16:creationId xmlns:a16="http://schemas.microsoft.com/office/drawing/2014/main" id="{B65F0D3F-CB4A-4FA0-B9B0-0FC775DFF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891704" y="1211641"/>
            <a:ext cx="1311513" cy="1264113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271945</xdr:colOff>
      <xdr:row>27</xdr:row>
      <xdr:rowOff>135082</xdr:rowOff>
    </xdr:from>
    <xdr:to>
      <xdr:col>13</xdr:col>
      <xdr:colOff>402649</xdr:colOff>
      <xdr:row>38</xdr:row>
      <xdr:rowOff>74661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6814852-5ED3-40B7-B153-2F1508CC5D84}"/>
            </a:ext>
          </a:extLst>
        </xdr:cNvPr>
        <xdr:cNvGrpSpPr/>
      </xdr:nvGrpSpPr>
      <xdr:grpSpPr>
        <a:xfrm>
          <a:off x="6116832" y="5044787"/>
          <a:ext cx="2728432" cy="1939829"/>
          <a:chOff x="6069207" y="4901047"/>
          <a:chExt cx="2728432" cy="1939828"/>
        </a:xfrm>
        <a:gradFill flip="none" rotWithShape="1">
          <a:gsLst>
            <a:gs pos="0">
              <a:srgbClr val="3ADA36">
                <a:shade val="30000"/>
                <a:satMod val="115000"/>
              </a:srgbClr>
            </a:gs>
            <a:gs pos="50000">
              <a:srgbClr val="3ADA36">
                <a:shade val="67500"/>
                <a:satMod val="115000"/>
              </a:srgbClr>
            </a:gs>
            <a:gs pos="100000">
              <a:srgbClr val="3ADA36">
                <a:shade val="100000"/>
                <a:satMod val="115000"/>
              </a:srgbClr>
            </a:gs>
          </a:gsLst>
          <a:lin ang="2700000" scaled="1"/>
          <a:tileRect/>
        </a:gradFill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50800" stA="50000" endA="300" endPos="90000" dist="50800" dir="5400000" sy="-100000" algn="bl" rotWithShape="0"/>
        </a:effectLst>
      </xdr:grpSpPr>
      <xdr:sp macro="[0]!Qualiwanted" textlink="">
        <xdr:nvSpPr>
          <xdr:cNvPr id="17" name="Rectangle: Diagonal Corners Rounded 16">
            <a:extLst>
              <a:ext uri="{FF2B5EF4-FFF2-40B4-BE49-F238E27FC236}">
                <a16:creationId xmlns:a16="http://schemas.microsoft.com/office/drawing/2014/main" id="{14BF17F5-A7C5-4DB8-B413-1C125BD2321F}"/>
              </a:ext>
            </a:extLst>
          </xdr:cNvPr>
          <xdr:cNvSpPr/>
        </xdr:nvSpPr>
        <xdr:spPr>
          <a:xfrm>
            <a:off x="6069207" y="4998445"/>
            <a:ext cx="2728432" cy="1842430"/>
          </a:xfrm>
          <a:prstGeom prst="round2DiagRect">
            <a:avLst/>
          </a:prstGeom>
          <a:grpFill/>
          <a:ln w="57150">
            <a:solidFill>
              <a:schemeClr val="tx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en-GB" sz="16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Qualifications</a:t>
            </a:r>
            <a:r>
              <a:rPr lang="en-GB" sz="16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wanted</a:t>
            </a:r>
            <a:endParaRPr lang="en-GB" sz="16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 macro="[0]!Qualiwanted">
        <xdr:nvPicPr>
          <xdr:cNvPr id="19" name="Graphic 18" descr="Graduation cap outline">
            <a:extLst>
              <a:ext uri="{FF2B5EF4-FFF2-40B4-BE49-F238E27FC236}">
                <a16:creationId xmlns:a16="http://schemas.microsoft.com/office/drawing/2014/main" id="{F91C6583-27FD-428C-AF09-E74003D780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750586" y="4901047"/>
            <a:ext cx="1385870" cy="1350178"/>
          </a:xfrm>
          <a:prstGeom prst="rect">
            <a:avLst/>
          </a:prstGeom>
        </xdr:spPr>
      </xdr:pic>
    </xdr:grpSp>
    <xdr:clientData/>
  </xdr:twoCellAnchor>
  <xdr:twoCellAnchor>
    <xdr:from>
      <xdr:col>218</xdr:col>
      <xdr:colOff>173828</xdr:colOff>
      <xdr:row>40</xdr:row>
      <xdr:rowOff>119628</xdr:rowOff>
    </xdr:from>
    <xdr:to>
      <xdr:col>219</xdr:col>
      <xdr:colOff>495763</xdr:colOff>
      <xdr:row>43</xdr:row>
      <xdr:rowOff>82326</xdr:rowOff>
    </xdr:to>
    <xdr:sp macro="[0]!Flexibility2" textlink="">
      <xdr:nvSpPr>
        <xdr:cNvPr id="196" name="Rectangle: Diagonal Corners Rounded 195">
          <a:extLst>
            <a:ext uri="{FF2B5EF4-FFF2-40B4-BE49-F238E27FC236}">
              <a16:creationId xmlns:a16="http://schemas.microsoft.com/office/drawing/2014/main" id="{5657D286-60E7-47A2-9C7D-5361B22F577F}"/>
            </a:ext>
          </a:extLst>
        </xdr:cNvPr>
        <xdr:cNvSpPr/>
      </xdr:nvSpPr>
      <xdr:spPr>
        <a:xfrm>
          <a:off x="141372428" y="7358628"/>
          <a:ext cx="969635" cy="505624"/>
        </a:xfrm>
        <a:prstGeom prst="round2DiagRect">
          <a:avLst/>
        </a:prstGeom>
        <a:solidFill>
          <a:srgbClr val="00CC99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Flexibility</a:t>
          </a:r>
        </a:p>
      </xdr:txBody>
    </xdr:sp>
    <xdr:clientData/>
  </xdr:twoCellAnchor>
  <xdr:twoCellAnchor>
    <xdr:from>
      <xdr:col>215</xdr:col>
      <xdr:colOff>137188</xdr:colOff>
      <xdr:row>44</xdr:row>
      <xdr:rowOff>109234</xdr:rowOff>
    </xdr:from>
    <xdr:to>
      <xdr:col>216</xdr:col>
      <xdr:colOff>459125</xdr:colOff>
      <xdr:row>47</xdr:row>
      <xdr:rowOff>66491</xdr:rowOff>
    </xdr:to>
    <xdr:sp macro="[0]!AttentionToDetail2" textlink="">
      <xdr:nvSpPr>
        <xdr:cNvPr id="197" name="Rectangle: Diagonal Corners Rounded 196">
          <a:extLst>
            <a:ext uri="{FF2B5EF4-FFF2-40B4-BE49-F238E27FC236}">
              <a16:creationId xmlns:a16="http://schemas.microsoft.com/office/drawing/2014/main" id="{CBF9D475-64E3-4A9E-94E7-DCEA6E485715}"/>
            </a:ext>
          </a:extLst>
        </xdr:cNvPr>
        <xdr:cNvSpPr/>
      </xdr:nvSpPr>
      <xdr:spPr>
        <a:xfrm>
          <a:off x="139392688" y="8072134"/>
          <a:ext cx="969637" cy="500183"/>
        </a:xfrm>
        <a:prstGeom prst="round2DiagRect">
          <a:avLst/>
        </a:prstGeom>
        <a:solidFill>
          <a:srgbClr val="00CC99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Attention to detail</a:t>
          </a:r>
        </a:p>
      </xdr:txBody>
    </xdr:sp>
    <xdr:clientData/>
  </xdr:twoCellAnchor>
  <xdr:twoCellAnchor>
    <xdr:from>
      <xdr:col>216</xdr:col>
      <xdr:colOff>98639</xdr:colOff>
      <xdr:row>40</xdr:row>
      <xdr:rowOff>131906</xdr:rowOff>
    </xdr:from>
    <xdr:to>
      <xdr:col>217</xdr:col>
      <xdr:colOff>420574</xdr:colOff>
      <xdr:row>43</xdr:row>
      <xdr:rowOff>94604</xdr:rowOff>
    </xdr:to>
    <xdr:sp macro="[0]!IndepWorker2" textlink="">
      <xdr:nvSpPr>
        <xdr:cNvPr id="198" name="Rectangle: Diagonal Corners Rounded 197">
          <a:extLst>
            <a:ext uri="{FF2B5EF4-FFF2-40B4-BE49-F238E27FC236}">
              <a16:creationId xmlns:a16="http://schemas.microsoft.com/office/drawing/2014/main" id="{9F3E295E-BB3B-4E2A-AC93-0374E914EFB4}"/>
            </a:ext>
          </a:extLst>
        </xdr:cNvPr>
        <xdr:cNvSpPr/>
      </xdr:nvSpPr>
      <xdr:spPr>
        <a:xfrm>
          <a:off x="140001839" y="7370906"/>
          <a:ext cx="969635" cy="505624"/>
        </a:xfrm>
        <a:prstGeom prst="round2DiagRect">
          <a:avLst/>
        </a:prstGeom>
        <a:solidFill>
          <a:srgbClr val="00CC99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Independent worker</a:t>
          </a:r>
        </a:p>
      </xdr:txBody>
    </xdr:sp>
    <xdr:clientData/>
  </xdr:twoCellAnchor>
  <xdr:twoCellAnchor>
    <xdr:from>
      <xdr:col>214</xdr:col>
      <xdr:colOff>47924</xdr:colOff>
      <xdr:row>40</xdr:row>
      <xdr:rowOff>134635</xdr:rowOff>
    </xdr:from>
    <xdr:to>
      <xdr:col>215</xdr:col>
      <xdr:colOff>369860</xdr:colOff>
      <xdr:row>43</xdr:row>
      <xdr:rowOff>97333</xdr:rowOff>
    </xdr:to>
    <xdr:sp macro="[0]!TeamWork2" textlink="">
      <xdr:nvSpPr>
        <xdr:cNvPr id="199" name="Rectangle: Diagonal Corners Rounded 198">
          <a:extLst>
            <a:ext uri="{FF2B5EF4-FFF2-40B4-BE49-F238E27FC236}">
              <a16:creationId xmlns:a16="http://schemas.microsoft.com/office/drawing/2014/main" id="{F2422E61-FDA2-44E4-A171-5CC60E3A7969}"/>
            </a:ext>
          </a:extLst>
        </xdr:cNvPr>
        <xdr:cNvSpPr/>
      </xdr:nvSpPr>
      <xdr:spPr>
        <a:xfrm>
          <a:off x="138655724" y="7373635"/>
          <a:ext cx="969636" cy="505624"/>
        </a:xfrm>
        <a:prstGeom prst="round2DiagRect">
          <a:avLst/>
        </a:prstGeom>
        <a:solidFill>
          <a:srgbClr val="00CC99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Team work</a:t>
          </a:r>
        </a:p>
      </xdr:txBody>
    </xdr:sp>
    <xdr:clientData/>
  </xdr:twoCellAnchor>
  <xdr:twoCellAnchor>
    <xdr:from>
      <xdr:col>217</xdr:col>
      <xdr:colOff>287161</xdr:colOff>
      <xdr:row>44</xdr:row>
      <xdr:rowOff>90136</xdr:rowOff>
    </xdr:from>
    <xdr:to>
      <xdr:col>218</xdr:col>
      <xdr:colOff>609096</xdr:colOff>
      <xdr:row>47</xdr:row>
      <xdr:rowOff>41953</xdr:rowOff>
    </xdr:to>
    <xdr:sp macro="[0]!Leadership2" textlink="">
      <xdr:nvSpPr>
        <xdr:cNvPr id="200" name="Rectangle: Diagonal Corners Rounded 199">
          <a:extLst>
            <a:ext uri="{FF2B5EF4-FFF2-40B4-BE49-F238E27FC236}">
              <a16:creationId xmlns:a16="http://schemas.microsoft.com/office/drawing/2014/main" id="{7BCAA327-3D48-43B0-A549-1F39855C17C8}"/>
            </a:ext>
          </a:extLst>
        </xdr:cNvPr>
        <xdr:cNvSpPr/>
      </xdr:nvSpPr>
      <xdr:spPr>
        <a:xfrm>
          <a:off x="140838061" y="8053036"/>
          <a:ext cx="969635" cy="494743"/>
        </a:xfrm>
        <a:prstGeom prst="round2DiagRect">
          <a:avLst/>
        </a:prstGeom>
        <a:solidFill>
          <a:srgbClr val="00CC99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Leadership</a:t>
          </a:r>
          <a:r>
            <a:rPr lang="en-GB" sz="1100" baseline="0">
              <a:solidFill>
                <a:schemeClr val="tx1"/>
              </a:solidFill>
            </a:rPr>
            <a:t> skills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214</xdr:col>
      <xdr:colOff>156702</xdr:colOff>
      <xdr:row>49</xdr:row>
      <xdr:rowOff>74775</xdr:rowOff>
    </xdr:from>
    <xdr:to>
      <xdr:col>215</xdr:col>
      <xdr:colOff>478638</xdr:colOff>
      <xdr:row>52</xdr:row>
      <xdr:rowOff>26586</xdr:rowOff>
    </xdr:to>
    <xdr:sp macro="[0]!ComputerSkills2" textlink="">
      <xdr:nvSpPr>
        <xdr:cNvPr id="201" name="Rectangle: Diagonal Corners Rounded 200">
          <a:extLst>
            <a:ext uri="{FF2B5EF4-FFF2-40B4-BE49-F238E27FC236}">
              <a16:creationId xmlns:a16="http://schemas.microsoft.com/office/drawing/2014/main" id="{B674AE62-E25D-491E-8DBB-D777D56FC196}"/>
            </a:ext>
          </a:extLst>
        </xdr:cNvPr>
        <xdr:cNvSpPr/>
      </xdr:nvSpPr>
      <xdr:spPr>
        <a:xfrm>
          <a:off x="138764502" y="8942551"/>
          <a:ext cx="969636" cy="494735"/>
        </a:xfrm>
        <a:prstGeom prst="round2DiagRect">
          <a:avLst/>
        </a:prstGeom>
        <a:solidFill>
          <a:srgbClr val="33CCCC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Computer skills</a:t>
          </a:r>
        </a:p>
      </xdr:txBody>
    </xdr:sp>
    <xdr:clientData/>
  </xdr:twoCellAnchor>
  <xdr:twoCellAnchor>
    <xdr:from>
      <xdr:col>218</xdr:col>
      <xdr:colOff>109923</xdr:colOff>
      <xdr:row>49</xdr:row>
      <xdr:rowOff>63862</xdr:rowOff>
    </xdr:from>
    <xdr:to>
      <xdr:col>219</xdr:col>
      <xdr:colOff>431858</xdr:colOff>
      <xdr:row>52</xdr:row>
      <xdr:rowOff>15673</xdr:rowOff>
    </xdr:to>
    <xdr:sp macro="[0]!VerbWritingSkills2" textlink="">
      <xdr:nvSpPr>
        <xdr:cNvPr id="202" name="Rectangle: Diagonal Corners Rounded 201">
          <a:extLst>
            <a:ext uri="{FF2B5EF4-FFF2-40B4-BE49-F238E27FC236}">
              <a16:creationId xmlns:a16="http://schemas.microsoft.com/office/drawing/2014/main" id="{E9BD0E67-537C-49DA-8754-83868552B7F1}"/>
            </a:ext>
          </a:extLst>
        </xdr:cNvPr>
        <xdr:cNvSpPr/>
      </xdr:nvSpPr>
      <xdr:spPr>
        <a:xfrm>
          <a:off x="141308523" y="8931638"/>
          <a:ext cx="969635" cy="494735"/>
        </a:xfrm>
        <a:prstGeom prst="round2DiagRect">
          <a:avLst/>
        </a:prstGeom>
        <a:solidFill>
          <a:srgbClr val="33CCCC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Verbal &amp; writing skills</a:t>
          </a:r>
        </a:p>
      </xdr:txBody>
    </xdr:sp>
    <xdr:clientData/>
  </xdr:twoCellAnchor>
  <xdr:twoCellAnchor>
    <xdr:from>
      <xdr:col>216</xdr:col>
      <xdr:colOff>127194</xdr:colOff>
      <xdr:row>49</xdr:row>
      <xdr:rowOff>47507</xdr:rowOff>
    </xdr:from>
    <xdr:to>
      <xdr:col>217</xdr:col>
      <xdr:colOff>449129</xdr:colOff>
      <xdr:row>52</xdr:row>
      <xdr:rowOff>4758</xdr:rowOff>
    </xdr:to>
    <xdr:sp macro="[0]!ProblemSolv" textlink="">
      <xdr:nvSpPr>
        <xdr:cNvPr id="203" name="Rectangle: Diagonal Corners Rounded 202">
          <a:extLst>
            <a:ext uri="{FF2B5EF4-FFF2-40B4-BE49-F238E27FC236}">
              <a16:creationId xmlns:a16="http://schemas.microsoft.com/office/drawing/2014/main" id="{620A825F-B727-4459-A793-DF50FD71F9B9}"/>
            </a:ext>
          </a:extLst>
        </xdr:cNvPr>
        <xdr:cNvSpPr/>
      </xdr:nvSpPr>
      <xdr:spPr>
        <a:xfrm>
          <a:off x="140030394" y="8915283"/>
          <a:ext cx="969635" cy="500175"/>
        </a:xfrm>
        <a:prstGeom prst="round2DiagRect">
          <a:avLst/>
        </a:prstGeom>
        <a:solidFill>
          <a:srgbClr val="33CCCC"/>
        </a:solidFill>
        <a:ln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>
              <a:solidFill>
                <a:schemeClr val="tx1"/>
              </a:solidFill>
            </a:rPr>
            <a:t>Problem solving</a:t>
          </a:r>
        </a:p>
      </xdr:txBody>
    </xdr:sp>
    <xdr:clientData/>
  </xdr:twoCellAnchor>
  <xdr:twoCellAnchor>
    <xdr:from>
      <xdr:col>214</xdr:col>
      <xdr:colOff>0</xdr:colOff>
      <xdr:row>33</xdr:row>
      <xdr:rowOff>14570</xdr:rowOff>
    </xdr:from>
    <xdr:to>
      <xdr:col>215</xdr:col>
      <xdr:colOff>288069</xdr:colOff>
      <xdr:row>37</xdr:row>
      <xdr:rowOff>8966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3D968A72-2CD3-46A9-A7B2-B3D62EDD9027}"/>
            </a:ext>
          </a:extLst>
        </xdr:cNvPr>
        <xdr:cNvGrpSpPr/>
      </xdr:nvGrpSpPr>
      <xdr:grpSpPr>
        <a:xfrm>
          <a:off x="138978409" y="6015321"/>
          <a:ext cx="937502" cy="721760"/>
          <a:chOff x="0" y="198264"/>
          <a:chExt cx="952500" cy="711572"/>
        </a:xfrm>
      </xdr:grpSpPr>
      <xdr:sp macro="[0]!QBachelor2" textlink="">
        <xdr:nvSpPr>
          <xdr:cNvPr id="205" name="Rectangle: Diagonal Corners Rounded 204">
            <a:extLst>
              <a:ext uri="{FF2B5EF4-FFF2-40B4-BE49-F238E27FC236}">
                <a16:creationId xmlns:a16="http://schemas.microsoft.com/office/drawing/2014/main" id="{46317DF9-5443-4C73-BA92-EE39B943A33C}"/>
              </a:ext>
            </a:extLst>
          </xdr:cNvPr>
          <xdr:cNvSpPr/>
        </xdr:nvSpPr>
        <xdr:spPr>
          <a:xfrm>
            <a:off x="0" y="237483"/>
            <a:ext cx="952500" cy="672353"/>
          </a:xfrm>
          <a:prstGeom prst="round2DiagRect">
            <a:avLst/>
          </a:prstGeom>
          <a:solidFill>
            <a:srgbClr val="00B05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r>
              <a:rPr lang="en-GB" sz="1100" b="0">
                <a:solidFill>
                  <a:schemeClr val="tx1"/>
                </a:solidFill>
              </a:rPr>
              <a:t>Bachelor</a:t>
            </a:r>
          </a:p>
        </xdr:txBody>
      </xdr:sp>
      <xdr:pic macro="[0]!QBachelor2">
        <xdr:nvPicPr>
          <xdr:cNvPr id="206" name="Graphic 11" descr="Diploma roll outline">
            <a:extLst>
              <a:ext uri="{FF2B5EF4-FFF2-40B4-BE49-F238E27FC236}">
                <a16:creationId xmlns:a16="http://schemas.microsoft.com/office/drawing/2014/main" id="{4C315B9A-7DAE-4711-82E8-EE889CAEE7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3692" y="198264"/>
            <a:ext cx="549088" cy="549088"/>
          </a:xfrm>
          <a:prstGeom prst="rect">
            <a:avLst/>
          </a:prstGeom>
        </xdr:spPr>
      </xdr:pic>
    </xdr:grpSp>
    <xdr:clientData/>
  </xdr:twoCellAnchor>
  <xdr:twoCellAnchor>
    <xdr:from>
      <xdr:col>218</xdr:col>
      <xdr:colOff>92447</xdr:colOff>
      <xdr:row>33</xdr:row>
      <xdr:rowOff>96852</xdr:rowOff>
    </xdr:from>
    <xdr:to>
      <xdr:col>219</xdr:col>
      <xdr:colOff>390036</xdr:colOff>
      <xdr:row>37</xdr:row>
      <xdr:rowOff>91248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375395B-5956-4397-9567-D794ED393D86}"/>
            </a:ext>
          </a:extLst>
        </xdr:cNvPr>
        <xdr:cNvGrpSpPr/>
      </xdr:nvGrpSpPr>
      <xdr:grpSpPr>
        <a:xfrm>
          <a:off x="141668583" y="6097603"/>
          <a:ext cx="947022" cy="721760"/>
          <a:chOff x="2677804" y="280546"/>
          <a:chExt cx="952500" cy="711572"/>
        </a:xfrm>
      </xdr:grpSpPr>
      <xdr:sp macro="[0]!QPhD2" textlink="">
        <xdr:nvSpPr>
          <xdr:cNvPr id="208" name="Rectangle: Diagonal Corners Rounded 207">
            <a:extLst>
              <a:ext uri="{FF2B5EF4-FFF2-40B4-BE49-F238E27FC236}">
                <a16:creationId xmlns:a16="http://schemas.microsoft.com/office/drawing/2014/main" id="{7A08FEF4-1955-42B3-97EA-DE74EF5FA7B9}"/>
              </a:ext>
            </a:extLst>
          </xdr:cNvPr>
          <xdr:cNvSpPr/>
        </xdr:nvSpPr>
        <xdr:spPr>
          <a:xfrm>
            <a:off x="2677804" y="319765"/>
            <a:ext cx="952500" cy="672353"/>
          </a:xfrm>
          <a:prstGeom prst="round2DiagRect">
            <a:avLst/>
          </a:prstGeom>
          <a:solidFill>
            <a:srgbClr val="00B05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r>
              <a:rPr lang="en-GB" sz="1100" b="0">
                <a:solidFill>
                  <a:schemeClr val="tx1"/>
                </a:solidFill>
              </a:rPr>
              <a:t>PhD</a:t>
            </a:r>
          </a:p>
        </xdr:txBody>
      </xdr:sp>
      <xdr:pic macro="[0]!QPhD2">
        <xdr:nvPicPr>
          <xdr:cNvPr id="209" name="Graphic 14" descr="Diploma roll outline">
            <a:extLst>
              <a:ext uri="{FF2B5EF4-FFF2-40B4-BE49-F238E27FC236}">
                <a16:creationId xmlns:a16="http://schemas.microsoft.com/office/drawing/2014/main" id="{3C5DA471-C0C1-4D12-9AAF-CA5D641A0F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1496" y="280546"/>
            <a:ext cx="549088" cy="549088"/>
          </a:xfrm>
          <a:prstGeom prst="rect">
            <a:avLst/>
          </a:prstGeom>
        </xdr:spPr>
      </xdr:pic>
    </xdr:grpSp>
    <xdr:clientData/>
  </xdr:twoCellAnchor>
  <xdr:twoCellAnchor>
    <xdr:from>
      <xdr:col>216</xdr:col>
      <xdr:colOff>127194</xdr:colOff>
      <xdr:row>32</xdr:row>
      <xdr:rowOff>0</xdr:rowOff>
    </xdr:from>
    <xdr:to>
      <xdr:col>217</xdr:col>
      <xdr:colOff>424774</xdr:colOff>
      <xdr:row>36</xdr:row>
      <xdr:rowOff>523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7A674BF9-C1DE-4B8A-AA1F-07E7F78847EA}"/>
            </a:ext>
          </a:extLst>
        </xdr:cNvPr>
        <xdr:cNvGrpSpPr/>
      </xdr:nvGrpSpPr>
      <xdr:grpSpPr>
        <a:xfrm>
          <a:off x="140404467" y="5818909"/>
          <a:ext cx="947012" cy="727887"/>
          <a:chOff x="1419871" y="0"/>
          <a:chExt cx="952500" cy="711572"/>
        </a:xfrm>
      </xdr:grpSpPr>
      <xdr:sp macro="[0]!QMaster2" textlink="">
        <xdr:nvSpPr>
          <xdr:cNvPr id="211" name="Rectangle: Diagonal Corners Rounded 210">
            <a:extLst>
              <a:ext uri="{FF2B5EF4-FFF2-40B4-BE49-F238E27FC236}">
                <a16:creationId xmlns:a16="http://schemas.microsoft.com/office/drawing/2014/main" id="{9898AEB9-7B12-4FE7-890E-C709D27587B0}"/>
              </a:ext>
            </a:extLst>
          </xdr:cNvPr>
          <xdr:cNvSpPr/>
        </xdr:nvSpPr>
        <xdr:spPr>
          <a:xfrm>
            <a:off x="1419871" y="39219"/>
            <a:ext cx="952500" cy="672353"/>
          </a:xfrm>
          <a:prstGeom prst="round2DiagRect">
            <a:avLst/>
          </a:prstGeom>
          <a:solidFill>
            <a:srgbClr val="00B05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endParaRPr lang="en-GB" sz="1100" b="0">
              <a:solidFill>
                <a:schemeClr val="tx1"/>
              </a:solidFill>
            </a:endParaRPr>
          </a:p>
          <a:p>
            <a:pPr algn="ctr"/>
            <a:r>
              <a:rPr lang="en-GB" sz="1100" b="0">
                <a:solidFill>
                  <a:schemeClr val="tx1"/>
                </a:solidFill>
              </a:rPr>
              <a:t>Masters</a:t>
            </a:r>
          </a:p>
        </xdr:txBody>
      </xdr:sp>
      <xdr:pic macro="[0]!QMaster2">
        <xdr:nvPicPr>
          <xdr:cNvPr id="212" name="Graphic 17" descr="Diploma roll outline">
            <a:extLst>
              <a:ext uri="{FF2B5EF4-FFF2-40B4-BE49-F238E27FC236}">
                <a16:creationId xmlns:a16="http://schemas.microsoft.com/office/drawing/2014/main" id="{4A8E0DC1-D14F-44C5-B7F8-B4ACA627AD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593563" y="0"/>
            <a:ext cx="549088" cy="549088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76200</xdr:colOff>
      <xdr:row>11</xdr:row>
      <xdr:rowOff>95249</xdr:rowOff>
    </xdr:from>
    <xdr:to>
      <xdr:col>24</xdr:col>
      <xdr:colOff>209550</xdr:colOff>
      <xdr:row>21</xdr:row>
      <xdr:rowOff>152399</xdr:rowOff>
    </xdr:to>
    <xdr:sp macro="[0]!DeleteAllCharts" textlink="">
      <xdr:nvSpPr>
        <xdr:cNvPr id="2" name="Oval 1">
          <a:extLst>
            <a:ext uri="{FF2B5EF4-FFF2-40B4-BE49-F238E27FC236}">
              <a16:creationId xmlns:a16="http://schemas.microsoft.com/office/drawing/2014/main" id="{F18F5ED4-253C-4FB9-8BBC-16FA8547676A}"/>
            </a:ext>
          </a:extLst>
        </xdr:cNvPr>
        <xdr:cNvSpPr/>
      </xdr:nvSpPr>
      <xdr:spPr>
        <a:xfrm>
          <a:off x="13677900" y="2085975"/>
          <a:ext cx="2076450" cy="1866900"/>
        </a:xfrm>
        <a:prstGeom prst="ellipse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  <a:ln w="57150">
          <a:solidFill>
            <a:schemeClr val="tx1"/>
          </a:solidFill>
        </a:ln>
        <a:effectLst>
          <a:reflection blurRad="152400" stA="50000" endA="300" endPos="190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Figures</a:t>
          </a:r>
        </a:p>
      </xdr:txBody>
    </xdr:sp>
    <xdr:clientData/>
  </xdr:twoCellAnchor>
  <xdr:twoCellAnchor>
    <xdr:from>
      <xdr:col>16</xdr:col>
      <xdr:colOff>219075</xdr:colOff>
      <xdr:row>13</xdr:row>
      <xdr:rowOff>171449</xdr:rowOff>
    </xdr:from>
    <xdr:to>
      <xdr:col>20</xdr:col>
      <xdr:colOff>0</xdr:colOff>
      <xdr:row>20</xdr:row>
      <xdr:rowOff>9525</xdr:rowOff>
    </xdr:to>
    <xdr:sp macro="" textlink="">
      <xdr:nvSpPr>
        <xdr:cNvPr id="10" name="Rectangle: Diagonal Corners Snipped 9">
          <a:extLst>
            <a:ext uri="{FF2B5EF4-FFF2-40B4-BE49-F238E27FC236}">
              <a16:creationId xmlns:a16="http://schemas.microsoft.com/office/drawing/2014/main" id="{AFE5C06B-BF5F-47B3-A001-8755B3783C08}"/>
            </a:ext>
          </a:extLst>
        </xdr:cNvPr>
        <xdr:cNvSpPr/>
      </xdr:nvSpPr>
      <xdr:spPr>
        <a:xfrm>
          <a:off x="10582275" y="2524125"/>
          <a:ext cx="2371725" cy="1104900"/>
        </a:xfrm>
        <a:prstGeom prst="snip2DiagRect">
          <a:avLst/>
        </a:prstGeom>
        <a:solidFill>
          <a:srgbClr val="FCFC0C"/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Multiple choices to pick from</a:t>
          </a:r>
        </a:p>
      </xdr:txBody>
    </xdr:sp>
    <xdr:clientData/>
  </xdr:twoCellAnchor>
  <xdr:twoCellAnchor>
    <xdr:from>
      <xdr:col>15</xdr:col>
      <xdr:colOff>523875</xdr:colOff>
      <xdr:row>29</xdr:row>
      <xdr:rowOff>-1</xdr:rowOff>
    </xdr:from>
    <xdr:to>
      <xdr:col>20</xdr:col>
      <xdr:colOff>323850</xdr:colOff>
      <xdr:row>36</xdr:row>
      <xdr:rowOff>104775</xdr:rowOff>
    </xdr:to>
    <xdr:sp macro="" textlink="">
      <xdr:nvSpPr>
        <xdr:cNvPr id="8" name="Callout: Line 7">
          <a:extLst>
            <a:ext uri="{FF2B5EF4-FFF2-40B4-BE49-F238E27FC236}">
              <a16:creationId xmlns:a16="http://schemas.microsoft.com/office/drawing/2014/main" id="{2B644158-9B9B-4E7B-A6F8-85DBC656CF16}"/>
            </a:ext>
          </a:extLst>
        </xdr:cNvPr>
        <xdr:cNvSpPr/>
      </xdr:nvSpPr>
      <xdr:spPr>
        <a:xfrm>
          <a:off x="10239375" y="5248275"/>
          <a:ext cx="3038475" cy="1371600"/>
        </a:xfrm>
        <a:prstGeom prst="borderCallout1">
          <a:avLst>
            <a:gd name="adj1" fmla="val -10417"/>
            <a:gd name="adj2" fmla="val 48094"/>
            <a:gd name="adj3" fmla="val -109028"/>
            <a:gd name="adj4" fmla="val 50381"/>
          </a:avLst>
        </a:prstGeom>
        <a:solidFill>
          <a:schemeClr val="bg1"/>
        </a:solidFill>
        <a:ln w="571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Each of</a:t>
          </a:r>
          <a:r>
            <a:rPr lang="en-GB" sz="2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these two contain further sub-macros</a:t>
          </a:r>
          <a:endParaRPr lang="en-GB" sz="2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266700</xdr:colOff>
      <xdr:row>12</xdr:row>
      <xdr:rowOff>180974</xdr:rowOff>
    </xdr:from>
    <xdr:to>
      <xdr:col>16</xdr:col>
      <xdr:colOff>0</xdr:colOff>
      <xdr:row>20</xdr:row>
      <xdr:rowOff>9525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DA5BAF5D-FCF5-4693-9372-11552D19A897}"/>
            </a:ext>
          </a:extLst>
        </xdr:cNvPr>
        <xdr:cNvCxnSpPr/>
      </xdr:nvCxnSpPr>
      <xdr:spPr>
        <a:xfrm flipH="1" flipV="1">
          <a:off x="8686800" y="2352674"/>
          <a:ext cx="1676400" cy="1276351"/>
        </a:xfrm>
        <a:prstGeom prst="straightConnector1">
          <a:avLst/>
        </a:prstGeom>
        <a:ln w="57150"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19</xdr:row>
      <xdr:rowOff>171449</xdr:rowOff>
    </xdr:from>
    <xdr:to>
      <xdr:col>16</xdr:col>
      <xdr:colOff>0</xdr:colOff>
      <xdr:row>31</xdr:row>
      <xdr:rowOff>57149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CFE3D8A8-325C-4EC6-B1F0-16BC8105B4E9}"/>
            </a:ext>
          </a:extLst>
        </xdr:cNvPr>
        <xdr:cNvCxnSpPr/>
      </xdr:nvCxnSpPr>
      <xdr:spPr>
        <a:xfrm flipH="1">
          <a:off x="9191625" y="3609975"/>
          <a:ext cx="1171575" cy="2057400"/>
        </a:xfrm>
        <a:prstGeom prst="straightConnector1">
          <a:avLst/>
        </a:prstGeom>
        <a:ln w="57150"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361950</xdr:colOff>
      <xdr:row>3</xdr:row>
      <xdr:rowOff>95249</xdr:rowOff>
    </xdr:from>
    <xdr:to>
      <xdr:col>26</xdr:col>
      <xdr:colOff>342900</xdr:colOff>
      <xdr:row>9</xdr:row>
      <xdr:rowOff>76199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5CD57D5A-1B8A-4D72-ACF3-730EF17021C3}"/>
            </a:ext>
          </a:extLst>
        </xdr:cNvPr>
        <xdr:cNvSpPr/>
      </xdr:nvSpPr>
      <xdr:spPr>
        <a:xfrm>
          <a:off x="13315950" y="638175"/>
          <a:ext cx="3867150" cy="1066800"/>
        </a:xfrm>
        <a:prstGeom prst="rect">
          <a:avLst/>
        </a:prstGeom>
        <a:solidFill>
          <a:srgbClr val="FF6600"/>
        </a:solidFill>
        <a:ln w="57150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GB" sz="28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after each Macro:</a:t>
          </a:r>
          <a:endParaRPr lang="en-GB" sz="28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deed.com/rc/clk?jk=192d7434bee52926&amp;fccid=e87c07079f6e369f&amp;vjs=3" TargetMode="External"/><Relationship Id="rId18" Type="http://schemas.openxmlformats.org/officeDocument/2006/relationships/hyperlink" Target="https://www.totaljobs.com/job/business-support-apprentice/saria-job94604561" TargetMode="External"/><Relationship Id="rId26" Type="http://schemas.openxmlformats.org/officeDocument/2006/relationships/hyperlink" Target="https://www.indeed.com/jobs?q=mathematician&amp;start=10&amp;vjk=caf25a84c45335a2" TargetMode="External"/><Relationship Id="rId39" Type="http://schemas.openxmlformats.org/officeDocument/2006/relationships/hyperlink" Target="https://www.totaljobs.com/job/maths-teaching-assistant/clarus-education-ltd-job94332967?WT.mc_id=A_RE_TBPPC_MP2a_C16_22_TJ&amp;attb_cid=mhNKPXwB22APygrBynrk" TargetMode="External"/><Relationship Id="rId21" Type="http://schemas.openxmlformats.org/officeDocument/2006/relationships/hyperlink" Target="https://uk.indeed.com/viewjob?jk=b5383c3b71e99ac7&amp;tk=1fgpbbflltv8g802&amp;from=serp&amp;vjs=3" TargetMode="External"/><Relationship Id="rId34" Type="http://schemas.openxmlformats.org/officeDocument/2006/relationships/hyperlink" Target="https://www.totaljobs.com/job/entry-level-administrator/bell-cornwall-job94638845" TargetMode="External"/><Relationship Id="rId42" Type="http://schemas.openxmlformats.org/officeDocument/2006/relationships/hyperlink" Target="https://www.totaljobs.com/job/maths-graduate/i-teachers-job94462330" TargetMode="External"/><Relationship Id="rId47" Type="http://schemas.openxmlformats.org/officeDocument/2006/relationships/hyperlink" Target="https://www.glassdoor.co.uk/partner/jobListing.htm?pos=129&amp;ao=1136043&amp;s=58&amp;guid=0000017c2e6804688a7322af3fa22e8c&amp;src=GD_JOB_AD&amp;t=SR&amp;vt=w&amp;cs=1_04623f1e&amp;cb=1632866141691&amp;jobListingId=1006952301455&amp;jrtk=2-0-1fgn6g159u59j801-1fgn6g1623o7o000-d1018edf5a6a5e16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www.indeed.com/rc/clk?jk=83e8554805989921&amp;fccid=3af51e892ea04a4a&amp;vjs=3" TargetMode="External"/><Relationship Id="rId2" Type="http://schemas.openxmlformats.org/officeDocument/2006/relationships/hyperlink" Target="https://www.indeed.com/rc/clk?jk=83e8554805989921&amp;fccid=3af51e892ea04a4a&amp;vjs=3" TargetMode="External"/><Relationship Id="rId16" Type="http://schemas.openxmlformats.org/officeDocument/2006/relationships/hyperlink" Target="https://www.totaljobs.com/job/graduate-teaching-assistant/ribbons-and-reeves-limited-job94664976" TargetMode="External"/><Relationship Id="rId29" Type="http://schemas.openxmlformats.org/officeDocument/2006/relationships/hyperlink" Target="https://www.indeed.com/rc/clk?jk=5e9edd7fa692a9a4&amp;fccid=4888145234349437&amp;vjs=3" TargetMode="External"/><Relationship Id="rId11" Type="http://schemas.openxmlformats.org/officeDocument/2006/relationships/hyperlink" Target="https://www.indeed.com/rc/clk?jk=0ce4b68ee17d1201&amp;fccid=9f2bb83bd9bfe2fc&amp;vjs=3" TargetMode="External"/><Relationship Id="rId24" Type="http://schemas.openxmlformats.org/officeDocument/2006/relationships/hyperlink" Target="https://uk.indeed.com/viewjob?cmp=JZ-Flowers-International-Ltd&amp;t=Freight+Forwarding+Apprentice&amp;jk=c1a97a51db545262&amp;q=Entry+Level+Mathematical&amp;vjs=3" TargetMode="External"/><Relationship Id="rId32" Type="http://schemas.openxmlformats.org/officeDocument/2006/relationships/hyperlink" Target="https://www.indeed.com/rc/clk?jk=fc4270e7cf5713ef&amp;fccid=306f028923c9e104&amp;vjs=3" TargetMode="External"/><Relationship Id="rId37" Type="http://schemas.openxmlformats.org/officeDocument/2006/relationships/hyperlink" Target="https://www.indeed.com/rc/clk?jk=713cd626c43bc138&amp;fccid=bafd8175ea01947f&amp;vjs=3" TargetMode="External"/><Relationship Id="rId40" Type="http://schemas.openxmlformats.org/officeDocument/2006/relationships/hyperlink" Target="https://www.totaljobs.com/job/maths-teacher/qualiteach-ltd-job94799433" TargetMode="External"/><Relationship Id="rId45" Type="http://schemas.openxmlformats.org/officeDocument/2006/relationships/hyperlink" Target="https://www.glassdoor.co.uk/partner/jobListing.htm?pos=111&amp;ao=1136043&amp;s=58&amp;guid=0000017c2e6804688a7322af3fa22e8c&amp;src=GD_JOB_AD&amp;t=SR&amp;vt=w&amp;cs=1_da5accb7&amp;cb=1632866141679&amp;jobListingId=1006845343140&amp;jrtk=2-0-1fgn6g159u59j801-1fgn6g1623o7o000-4283e675195a8913" TargetMode="External"/><Relationship Id="rId5" Type="http://schemas.openxmlformats.org/officeDocument/2006/relationships/hyperlink" Target="https://www.indeed.com/rc/clk?jk=caf9c5435201bc33&amp;fccid=ab68ed48b7ae3b5f&amp;vjs=3" TargetMode="External"/><Relationship Id="rId15" Type="http://schemas.openxmlformats.org/officeDocument/2006/relationships/hyperlink" Target="https://www.indeed.com/rc/clk?jk=376401bba1bd6a58&amp;fccid=dd616958bd9ddc12&amp;vjs=3" TargetMode="External"/><Relationship Id="rId23" Type="http://schemas.openxmlformats.org/officeDocument/2006/relationships/hyperlink" Target="https://uk.indeed.com/viewjob?jk=20b1d0366b1cceb3&amp;tk=1fgpbbflltv8g802&amp;from=serp&amp;vjs=3" TargetMode="External"/><Relationship Id="rId28" Type="http://schemas.openxmlformats.org/officeDocument/2006/relationships/hyperlink" Target="https://www.indeed.com/rc/clk?jk=fc3a2505e4e02ef9&amp;fccid=9a839421eaa36c15&amp;vjs=3" TargetMode="External"/><Relationship Id="rId36" Type="http://schemas.openxmlformats.org/officeDocument/2006/relationships/hyperlink" Target="https://www.indeed.com/rc/clk?jk=41c5b0696671c71d&amp;fccid=a015205ad138ca75&amp;vjs=3" TargetMode="External"/><Relationship Id="rId49" Type="http://schemas.openxmlformats.org/officeDocument/2006/relationships/hyperlink" Target="https://www.glassdoor.co.uk/partner/jobListing.htm?pos=204&amp;ao=1136043&amp;s=58&amp;guid=0000017c2e70b963b57639e4b5603b27&amp;src=GD_JOB_AD&amp;t=SR&amp;vt=w&amp;cs=1_12846e55&amp;cb=1632866712477&amp;jobListingId=1006845343326&amp;jrtk=2-0-1fgn71eisu59l801-1fgn71ejku4rm800-6991bc5aaed79fdc" TargetMode="External"/><Relationship Id="rId10" Type="http://schemas.openxmlformats.org/officeDocument/2006/relationships/hyperlink" Target="https://www.indeed.com/rc/clk?jk=4082c6405b995fc4&amp;fccid=10b815c398ea434f&amp;vjs=3" TargetMode="External"/><Relationship Id="rId19" Type="http://schemas.openxmlformats.org/officeDocument/2006/relationships/hyperlink" Target="https://www.totaljobs.com/job/architect/mbda-job94790937" TargetMode="External"/><Relationship Id="rId31" Type="http://schemas.openxmlformats.org/officeDocument/2006/relationships/hyperlink" Target="https://www.indeed.com/rc/clk?jk=8840fa5941a584b3&amp;fccid=ba923b146fa75d0d&amp;vjs=3" TargetMode="External"/><Relationship Id="rId44" Type="http://schemas.openxmlformats.org/officeDocument/2006/relationships/hyperlink" Target="https://www.totaljobs.com/job/maths-graduate/ribbons-and-reeves-limited-job94390067" TargetMode="External"/><Relationship Id="rId52" Type="http://schemas.openxmlformats.org/officeDocument/2006/relationships/comments" Target="../comments1.xml"/><Relationship Id="rId4" Type="http://schemas.openxmlformats.org/officeDocument/2006/relationships/hyperlink" Target="https://www.indeed.com/rc/clk?jk=34a430d83d67e227&amp;fccid=7340fb5bffd8c4f7&amp;vjs=3" TargetMode="External"/><Relationship Id="rId9" Type="http://schemas.openxmlformats.org/officeDocument/2006/relationships/hyperlink" Target="https://www.indeed.com/rc/clk?jk=7d0401f2e6d2c219&amp;fccid=0b74c73a7d280485&amp;vjs=3" TargetMode="External"/><Relationship Id="rId14" Type="http://schemas.openxmlformats.org/officeDocument/2006/relationships/hyperlink" Target="https://www.indeed.com/rc/clk?jk=28f5fa0118a08ef5&amp;fccid=cd92aace04d1abc5&amp;vjs=3" TargetMode="External"/><Relationship Id="rId22" Type="http://schemas.openxmlformats.org/officeDocument/2006/relationships/hyperlink" Target="https://uk.indeed.com/viewjob?jk=0f30c12b99d3c5c0&amp;tk=1fgpbbflltv8g802&amp;from=serp&amp;vjs=3" TargetMode="External"/><Relationship Id="rId27" Type="http://schemas.openxmlformats.org/officeDocument/2006/relationships/hyperlink" Target="https://www.indeed.com/rc/clk?jk=288ed754a1774da9&amp;fccid=9a839421eaa36c15&amp;vjs=3" TargetMode="External"/><Relationship Id="rId30" Type="http://schemas.openxmlformats.org/officeDocument/2006/relationships/hyperlink" Target="https://www.indeed.com/rc/clk?jk=ff798d81eb6567db&amp;fccid=d274e1dce7158c48&amp;vjs=3" TargetMode="External"/><Relationship Id="rId35" Type="http://schemas.openxmlformats.org/officeDocument/2006/relationships/hyperlink" Target="https://www.indeed.com/rc/clk?jk=f2e1dc11bf881418&amp;fccid=4888145234349437&amp;vjs=3" TargetMode="External"/><Relationship Id="rId43" Type="http://schemas.openxmlformats.org/officeDocument/2006/relationships/hyperlink" Target="https://www.totaljobs.com/job/graduate-teaching-assistant/i-teachers-job94364290" TargetMode="External"/><Relationship Id="rId48" Type="http://schemas.openxmlformats.org/officeDocument/2006/relationships/hyperlink" Target="https://www.glassdoor.co.uk/partner/jobListing.htm?pos=202&amp;ao=1136043&amp;s=58&amp;guid=0000017c2e70b963b57639e4b5603b27&amp;src=GD_JOB_AD&amp;t=SR&amp;vt=w&amp;cs=1_7b418d1a&amp;cb=1632866712476&amp;jobListingId=1007324600021&amp;jrtk=2-0-1fgn71eisu59l801-1fgn71ejku4rm800-97d281c663faf2d8" TargetMode="External"/><Relationship Id="rId8" Type="http://schemas.openxmlformats.org/officeDocument/2006/relationships/hyperlink" Target="https://www.indeed.com/rc/clk?jk=3a8c1abae03e20a6&amp;fccid=f2f952b171a5ad92&amp;vjs=3" TargetMode="External"/><Relationship Id="rId51" Type="http://schemas.openxmlformats.org/officeDocument/2006/relationships/vmlDrawing" Target="../drawings/vmlDrawing1.vml"/><Relationship Id="rId3" Type="http://schemas.openxmlformats.org/officeDocument/2006/relationships/hyperlink" Target="https://www.indeed.com/rc/clk?jk=5121a5e2e6386359&amp;fccid=62d959495fb47d05&amp;vjs=3" TargetMode="External"/><Relationship Id="rId12" Type="http://schemas.openxmlformats.org/officeDocument/2006/relationships/hyperlink" Target="https://www.indeed.com/rc/clk?jk=010ed81869f9ba89&amp;fccid=4e69f24625edd7db&amp;vjs=3" TargetMode="External"/><Relationship Id="rId17" Type="http://schemas.openxmlformats.org/officeDocument/2006/relationships/hyperlink" Target="https://www.totaljobs.com/job/mathematics-graduate/clarus-education-ltd-job94479898" TargetMode="External"/><Relationship Id="rId25" Type="http://schemas.openxmlformats.org/officeDocument/2006/relationships/hyperlink" Target="https://www.indeed.com/viewjob?jk=0400537e297eea87&amp;tk=1fgpcql93t5dl800&amp;from=serp&amp;vjs=3" TargetMode="External"/><Relationship Id="rId33" Type="http://schemas.openxmlformats.org/officeDocument/2006/relationships/hyperlink" Target="https://www.totaljobs.com/job/entry-level-administrator/re-recruitment-job94469813" TargetMode="External"/><Relationship Id="rId38" Type="http://schemas.openxmlformats.org/officeDocument/2006/relationships/hyperlink" Target="https://www.indeed.com/viewjob?jk=6987043f788cce90&amp;tk=1fgujme92t4br800&amp;from=serp&amp;vjs=3" TargetMode="External"/><Relationship Id="rId46" Type="http://schemas.openxmlformats.org/officeDocument/2006/relationships/hyperlink" Target="https://www.glassdoor.co.uk/partner/jobListing.htm?pos=112&amp;ao=1136043&amp;s=58&amp;guid=0000017c2e6804688a7322af3fa22e8c&amp;src=GD_JOB_AD&amp;t=SR&amp;vt=w&amp;cs=1_10b1534d&amp;cb=1632866141679&amp;jobListingId=1007254528659&amp;jrtk=2-0-1fgn6g159u59j801-1fgn6g1623o7o000-bd4eefc86d532339" TargetMode="External"/><Relationship Id="rId20" Type="http://schemas.openxmlformats.org/officeDocument/2006/relationships/hyperlink" Target="https://uk.indeed.com/viewjob?jk=6d7103ab9e106554&amp;tk=1fgpbbflltv8g802&amp;from=serp&amp;vjs=3" TargetMode="External"/><Relationship Id="rId41" Type="http://schemas.openxmlformats.org/officeDocument/2006/relationships/hyperlink" Target="https://www.totaljobs.com/job/maths-tutor/ribbons-and-reeves-limited-job94638202" TargetMode="External"/><Relationship Id="rId1" Type="http://schemas.openxmlformats.org/officeDocument/2006/relationships/hyperlink" Target="https://www.indeed.com/rc/clk?jk=681d2c913e63d583&amp;fccid=bafa4b35e9cd20ce&amp;vjs=3" TargetMode="External"/><Relationship Id="rId6" Type="http://schemas.openxmlformats.org/officeDocument/2006/relationships/hyperlink" Target="https://www.indeed.com/rc/clk?jk=a8b9760c46df4483&amp;fccid=52f90de7b5346a08&amp;vjs=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EF839-2ECF-44CD-8E86-3613F8A3099F}">
  <sheetPr codeName="Sheet1"/>
  <dimension ref="A1:Y54"/>
  <sheetViews>
    <sheetView tabSelected="1" zoomScale="40" zoomScaleNormal="40" workbookViewId="0"/>
  </sheetViews>
  <sheetFormatPr defaultRowHeight="14.25" x14ac:dyDescent="0.45"/>
  <cols>
    <col min="1" max="1" width="30.3984375" style="2" customWidth="1"/>
    <col min="2" max="2" width="69.46484375" style="9" bestFit="1" customWidth="1"/>
    <col min="3" max="3" width="50.6640625" style="2" bestFit="1" customWidth="1"/>
    <col min="4" max="4" width="46.46484375" style="9" bestFit="1" customWidth="1"/>
    <col min="5" max="5" width="19.265625" style="2" bestFit="1" customWidth="1"/>
    <col min="6" max="6" width="11.796875" style="9" bestFit="1" customWidth="1"/>
    <col min="7" max="7" width="33.53125" style="2" bestFit="1" customWidth="1"/>
    <col min="8" max="8" width="31.6640625" style="2" bestFit="1" customWidth="1"/>
    <col min="9" max="9" width="25" style="2" bestFit="1" customWidth="1"/>
    <col min="10" max="10" width="34.46484375" style="9" bestFit="1" customWidth="1"/>
    <col min="11" max="11" width="18.59765625" style="2" bestFit="1" customWidth="1"/>
    <col min="12" max="12" width="46.46484375" style="2" bestFit="1" customWidth="1"/>
    <col min="13" max="13" width="33.6640625" style="2" bestFit="1" customWidth="1"/>
    <col min="14" max="14" width="30.86328125" style="2" bestFit="1" customWidth="1"/>
    <col min="15" max="15" width="19" style="2" bestFit="1" customWidth="1"/>
    <col min="16" max="16" width="66.33203125" style="2" bestFit="1" customWidth="1"/>
    <col min="17" max="17" width="32.73046875" style="2" bestFit="1" customWidth="1"/>
    <col min="18" max="18" width="47.1328125" style="2" bestFit="1" customWidth="1"/>
    <col min="19" max="19" width="40.33203125" style="2" bestFit="1" customWidth="1"/>
    <col min="20" max="20" width="34.19921875" style="2" bestFit="1" customWidth="1"/>
    <col min="21" max="21" width="46.06640625" style="2" bestFit="1" customWidth="1"/>
    <col min="22" max="22" width="44.06640625" style="2" bestFit="1" customWidth="1"/>
    <col min="23" max="23" width="93" style="2" bestFit="1" customWidth="1"/>
    <col min="24" max="24" width="63.9296875" style="2" bestFit="1" customWidth="1"/>
    <col min="25" max="25" width="30.86328125" style="9" bestFit="1" customWidth="1"/>
    <col min="26" max="16384" width="9.06640625" style="2"/>
  </cols>
  <sheetData>
    <row r="1" spans="1:25" x14ac:dyDescent="0.45">
      <c r="A1" s="1"/>
      <c r="B1" s="7"/>
      <c r="C1" s="1"/>
      <c r="D1" s="7"/>
      <c r="E1" s="1"/>
      <c r="F1" s="7"/>
      <c r="G1" s="1"/>
      <c r="H1" s="1"/>
      <c r="I1" s="1"/>
      <c r="J1" s="7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7"/>
    </row>
    <row r="2" spans="1:25" s="20" customFormat="1" ht="57.75" customHeight="1" x14ac:dyDescent="0.45">
      <c r="A2" s="21" t="s">
        <v>0</v>
      </c>
      <c r="B2" s="22" t="s">
        <v>1</v>
      </c>
      <c r="C2" s="23" t="s">
        <v>2</v>
      </c>
      <c r="D2" s="22" t="s">
        <v>3</v>
      </c>
      <c r="E2" s="23" t="s">
        <v>4</v>
      </c>
      <c r="F2" s="22" t="s">
        <v>5</v>
      </c>
      <c r="G2" s="23" t="s">
        <v>6</v>
      </c>
      <c r="H2" s="23" t="s">
        <v>7</v>
      </c>
      <c r="I2" s="23" t="s">
        <v>8</v>
      </c>
      <c r="J2" s="22" t="s">
        <v>9</v>
      </c>
      <c r="K2" s="23" t="s">
        <v>10</v>
      </c>
      <c r="L2" s="23" t="s">
        <v>11</v>
      </c>
      <c r="M2" s="23" t="s">
        <v>12</v>
      </c>
      <c r="N2" s="23" t="s">
        <v>13</v>
      </c>
      <c r="O2" s="23" t="s">
        <v>14</v>
      </c>
      <c r="P2" s="23" t="s">
        <v>15</v>
      </c>
      <c r="Q2" s="23" t="s">
        <v>16</v>
      </c>
      <c r="R2" s="23" t="s">
        <v>17</v>
      </c>
      <c r="S2" s="23" t="s">
        <v>18</v>
      </c>
      <c r="T2" s="23" t="s">
        <v>19</v>
      </c>
      <c r="U2" s="23" t="s">
        <v>20</v>
      </c>
      <c r="V2" s="23" t="s">
        <v>21</v>
      </c>
      <c r="W2" s="23" t="s">
        <v>22</v>
      </c>
      <c r="X2" s="23" t="s">
        <v>217</v>
      </c>
      <c r="Y2" s="24" t="s">
        <v>23</v>
      </c>
    </row>
    <row r="3" spans="1:25" x14ac:dyDescent="0.45">
      <c r="A3" s="11" t="s">
        <v>24</v>
      </c>
      <c r="B3" s="12" t="s">
        <v>25</v>
      </c>
      <c r="C3" s="13" t="s">
        <v>26</v>
      </c>
      <c r="D3" s="12" t="s">
        <v>27</v>
      </c>
      <c r="E3" s="13" t="s">
        <v>28</v>
      </c>
      <c r="F3" s="14">
        <v>18525</v>
      </c>
      <c r="G3" s="13" t="s">
        <v>28</v>
      </c>
      <c r="H3" s="13" t="s">
        <v>28</v>
      </c>
      <c r="I3" s="13" t="s">
        <v>28</v>
      </c>
      <c r="J3" s="12" t="s">
        <v>29</v>
      </c>
      <c r="K3" s="13" t="s">
        <v>30</v>
      </c>
      <c r="L3" s="13" t="s">
        <v>28</v>
      </c>
      <c r="M3" s="13" t="s">
        <v>28</v>
      </c>
      <c r="N3" s="13" t="s">
        <v>28</v>
      </c>
      <c r="O3" s="13" t="s">
        <v>28</v>
      </c>
      <c r="P3" s="13" t="s">
        <v>31</v>
      </c>
      <c r="Q3" s="13" t="s">
        <v>31</v>
      </c>
      <c r="R3" s="13" t="s">
        <v>28</v>
      </c>
      <c r="S3" s="13" t="s">
        <v>28</v>
      </c>
      <c r="T3" s="13" t="s">
        <v>31</v>
      </c>
      <c r="U3" s="13" t="s">
        <v>28</v>
      </c>
      <c r="V3" s="13" t="s">
        <v>28</v>
      </c>
      <c r="W3" s="13" t="s">
        <v>31</v>
      </c>
      <c r="X3" s="13" t="s">
        <v>28</v>
      </c>
      <c r="Y3" s="15" t="s">
        <v>28</v>
      </c>
    </row>
    <row r="4" spans="1:25" x14ac:dyDescent="0.45">
      <c r="A4" s="11" t="s">
        <v>32</v>
      </c>
      <c r="B4" s="12" t="s">
        <v>33</v>
      </c>
      <c r="C4" s="13" t="s">
        <v>34</v>
      </c>
      <c r="D4" s="12" t="s">
        <v>27</v>
      </c>
      <c r="E4" s="13" t="s">
        <v>28</v>
      </c>
      <c r="F4" s="14">
        <v>17000</v>
      </c>
      <c r="G4" s="13" t="s">
        <v>28</v>
      </c>
      <c r="H4" s="13" t="s">
        <v>28</v>
      </c>
      <c r="I4" s="13" t="s">
        <v>28</v>
      </c>
      <c r="J4" s="12" t="s">
        <v>35</v>
      </c>
      <c r="K4" s="13" t="s">
        <v>30</v>
      </c>
      <c r="L4" s="13" t="s">
        <v>28</v>
      </c>
      <c r="M4" s="13" t="s">
        <v>28</v>
      </c>
      <c r="N4" s="13" t="s">
        <v>28</v>
      </c>
      <c r="O4" s="13" t="s">
        <v>28</v>
      </c>
      <c r="P4" s="13" t="s">
        <v>31</v>
      </c>
      <c r="Q4" s="13" t="s">
        <v>31</v>
      </c>
      <c r="R4" s="13" t="s">
        <v>31</v>
      </c>
      <c r="S4" s="13" t="s">
        <v>31</v>
      </c>
      <c r="T4" s="13" t="s">
        <v>28</v>
      </c>
      <c r="U4" s="13" t="s">
        <v>28</v>
      </c>
      <c r="V4" s="13" t="s">
        <v>31</v>
      </c>
      <c r="W4" s="13" t="s">
        <v>31</v>
      </c>
      <c r="X4" s="13" t="s">
        <v>28</v>
      </c>
      <c r="Y4" s="15" t="s">
        <v>28</v>
      </c>
    </row>
    <row r="5" spans="1:25" x14ac:dyDescent="0.45">
      <c r="A5" s="11" t="s">
        <v>36</v>
      </c>
      <c r="B5" s="12" t="s">
        <v>37</v>
      </c>
      <c r="C5" s="13" t="s">
        <v>38</v>
      </c>
      <c r="D5" s="12" t="s">
        <v>39</v>
      </c>
      <c r="E5" s="13" t="s">
        <v>31</v>
      </c>
      <c r="F5" s="12"/>
      <c r="G5" s="13" t="s">
        <v>31</v>
      </c>
      <c r="H5" s="13" t="s">
        <v>28</v>
      </c>
      <c r="I5" s="13" t="s">
        <v>28</v>
      </c>
      <c r="J5" s="12" t="s">
        <v>40</v>
      </c>
      <c r="K5" s="13" t="s">
        <v>41</v>
      </c>
      <c r="L5" s="13" t="s">
        <v>28</v>
      </c>
      <c r="M5" s="13" t="s">
        <v>28</v>
      </c>
      <c r="N5" s="13" t="s">
        <v>28</v>
      </c>
      <c r="O5" s="13" t="s">
        <v>28</v>
      </c>
      <c r="P5" s="13" t="s">
        <v>31</v>
      </c>
      <c r="Q5" s="13" t="s">
        <v>31</v>
      </c>
      <c r="R5" s="13" t="s">
        <v>31</v>
      </c>
      <c r="S5" s="13" t="s">
        <v>31</v>
      </c>
      <c r="T5" s="13" t="s">
        <v>31</v>
      </c>
      <c r="U5" s="13" t="s">
        <v>28</v>
      </c>
      <c r="V5" s="13" t="s">
        <v>31</v>
      </c>
      <c r="W5" s="13" t="s">
        <v>31</v>
      </c>
      <c r="X5" s="13" t="s">
        <v>28</v>
      </c>
      <c r="Y5" s="15" t="s">
        <v>28</v>
      </c>
    </row>
    <row r="6" spans="1:25" x14ac:dyDescent="0.45">
      <c r="A6" s="11" t="s">
        <v>42</v>
      </c>
      <c r="B6" s="12" t="s">
        <v>43</v>
      </c>
      <c r="C6" s="13" t="s">
        <v>44</v>
      </c>
      <c r="D6" s="12" t="s">
        <v>39</v>
      </c>
      <c r="E6" s="13" t="s">
        <v>28</v>
      </c>
      <c r="F6" s="12"/>
      <c r="G6" s="13" t="s">
        <v>31</v>
      </c>
      <c r="H6" s="13" t="s">
        <v>28</v>
      </c>
      <c r="I6" s="13" t="s">
        <v>28</v>
      </c>
      <c r="J6" s="12" t="s">
        <v>45</v>
      </c>
      <c r="K6" s="13" t="s">
        <v>41</v>
      </c>
      <c r="L6" s="13" t="s">
        <v>28</v>
      </c>
      <c r="M6" s="13" t="s">
        <v>28</v>
      </c>
      <c r="N6" s="13" t="s">
        <v>28</v>
      </c>
      <c r="O6" s="13" t="s">
        <v>28</v>
      </c>
      <c r="P6" s="13" t="s">
        <v>31</v>
      </c>
      <c r="Q6" s="13" t="s">
        <v>31</v>
      </c>
      <c r="R6" s="13" t="s">
        <v>31</v>
      </c>
      <c r="S6" s="13" t="s">
        <v>31</v>
      </c>
      <c r="T6" s="13" t="s">
        <v>31</v>
      </c>
      <c r="U6" s="13" t="s">
        <v>31</v>
      </c>
      <c r="V6" s="13" t="s">
        <v>31</v>
      </c>
      <c r="W6" s="13" t="s">
        <v>31</v>
      </c>
      <c r="X6" s="13" t="s">
        <v>28</v>
      </c>
      <c r="Y6" s="15" t="s">
        <v>28</v>
      </c>
    </row>
    <row r="7" spans="1:25" x14ac:dyDescent="0.45">
      <c r="A7" s="11" t="s">
        <v>46</v>
      </c>
      <c r="B7" s="12" t="s">
        <v>47</v>
      </c>
      <c r="C7" s="13" t="s">
        <v>48</v>
      </c>
      <c r="D7" s="12" t="s">
        <v>39</v>
      </c>
      <c r="E7" s="13" t="s">
        <v>28</v>
      </c>
      <c r="F7" s="12"/>
      <c r="G7" s="13" t="s">
        <v>31</v>
      </c>
      <c r="H7" s="13" t="s">
        <v>31</v>
      </c>
      <c r="I7" s="13" t="s">
        <v>28</v>
      </c>
      <c r="J7" s="12" t="s">
        <v>49</v>
      </c>
      <c r="K7" s="13" t="s">
        <v>41</v>
      </c>
      <c r="L7" s="13" t="s">
        <v>31</v>
      </c>
      <c r="M7" s="13" t="s">
        <v>28</v>
      </c>
      <c r="N7" s="13" t="s">
        <v>28</v>
      </c>
      <c r="O7" s="13" t="s">
        <v>28</v>
      </c>
      <c r="P7" s="13" t="s">
        <v>28</v>
      </c>
      <c r="Q7" s="13" t="s">
        <v>31</v>
      </c>
      <c r="R7" s="13" t="s">
        <v>31</v>
      </c>
      <c r="S7" s="13" t="s">
        <v>31</v>
      </c>
      <c r="T7" s="13" t="s">
        <v>28</v>
      </c>
      <c r="U7" s="13" t="s">
        <v>31</v>
      </c>
      <c r="V7" s="13" t="s">
        <v>31</v>
      </c>
      <c r="W7" s="13" t="s">
        <v>31</v>
      </c>
      <c r="X7" s="13" t="s">
        <v>28</v>
      </c>
      <c r="Y7" s="15" t="s">
        <v>28</v>
      </c>
    </row>
    <row r="8" spans="1:25" x14ac:dyDescent="0.45">
      <c r="A8" s="11" t="s">
        <v>50</v>
      </c>
      <c r="B8" s="12" t="s">
        <v>51</v>
      </c>
      <c r="C8" s="13" t="s">
        <v>52</v>
      </c>
      <c r="D8" s="12" t="s">
        <v>39</v>
      </c>
      <c r="E8" s="13" t="s">
        <v>31</v>
      </c>
      <c r="F8" s="12"/>
      <c r="G8" s="13" t="s">
        <v>31</v>
      </c>
      <c r="H8" s="13" t="s">
        <v>28</v>
      </c>
      <c r="I8" s="13" t="s">
        <v>28</v>
      </c>
      <c r="J8" s="12" t="s">
        <v>53</v>
      </c>
      <c r="K8" s="13" t="s">
        <v>41</v>
      </c>
      <c r="L8" s="13" t="s">
        <v>31</v>
      </c>
      <c r="M8" s="13" t="s">
        <v>28</v>
      </c>
      <c r="N8" s="13" t="s">
        <v>31</v>
      </c>
      <c r="O8" s="13" t="s">
        <v>28</v>
      </c>
      <c r="P8" s="13" t="s">
        <v>28</v>
      </c>
      <c r="Q8" s="13" t="s">
        <v>31</v>
      </c>
      <c r="R8" s="13" t="s">
        <v>31</v>
      </c>
      <c r="S8" s="13" t="s">
        <v>31</v>
      </c>
      <c r="T8" s="13" t="s">
        <v>31</v>
      </c>
      <c r="U8" s="13" t="s">
        <v>31</v>
      </c>
      <c r="V8" s="13" t="s">
        <v>31</v>
      </c>
      <c r="W8" s="13" t="s">
        <v>31</v>
      </c>
      <c r="X8" s="13" t="s">
        <v>28</v>
      </c>
      <c r="Y8" s="15" t="s">
        <v>31</v>
      </c>
    </row>
    <row r="9" spans="1:25" x14ac:dyDescent="0.45">
      <c r="A9" s="16" t="s">
        <v>54</v>
      </c>
      <c r="B9" s="12" t="s">
        <v>55</v>
      </c>
      <c r="C9" s="13" t="s">
        <v>56</v>
      </c>
      <c r="D9" s="12" t="s">
        <v>39</v>
      </c>
      <c r="E9" s="13" t="s">
        <v>28</v>
      </c>
      <c r="F9" s="12"/>
      <c r="G9" s="13" t="s">
        <v>31</v>
      </c>
      <c r="H9" s="13" t="s">
        <v>28</v>
      </c>
      <c r="I9" s="13" t="s">
        <v>28</v>
      </c>
      <c r="J9" s="12" t="s">
        <v>57</v>
      </c>
      <c r="K9" s="13" t="s">
        <v>30</v>
      </c>
      <c r="L9" s="13" t="s">
        <v>28</v>
      </c>
      <c r="M9" s="13" t="s">
        <v>28</v>
      </c>
      <c r="N9" s="13" t="s">
        <v>28</v>
      </c>
      <c r="O9" s="13" t="s">
        <v>28</v>
      </c>
      <c r="P9" s="13" t="s">
        <v>28</v>
      </c>
      <c r="Q9" s="13" t="s">
        <v>28</v>
      </c>
      <c r="R9" s="13" t="s">
        <v>28</v>
      </c>
      <c r="S9" s="13" t="s">
        <v>28</v>
      </c>
      <c r="T9" s="13" t="s">
        <v>28</v>
      </c>
      <c r="U9" s="13" t="s">
        <v>28</v>
      </c>
      <c r="V9" s="13" t="s">
        <v>31</v>
      </c>
      <c r="W9" s="13" t="s">
        <v>31</v>
      </c>
      <c r="X9" s="13" t="s">
        <v>28</v>
      </c>
      <c r="Y9" s="15" t="s">
        <v>28</v>
      </c>
    </row>
    <row r="10" spans="1:25" x14ac:dyDescent="0.45">
      <c r="A10" s="11" t="s">
        <v>58</v>
      </c>
      <c r="B10" s="12" t="s">
        <v>59</v>
      </c>
      <c r="C10" s="13" t="s">
        <v>60</v>
      </c>
      <c r="D10" s="12" t="s">
        <v>39</v>
      </c>
      <c r="E10" s="13" t="s">
        <v>28</v>
      </c>
      <c r="F10" s="12"/>
      <c r="G10" s="13" t="s">
        <v>31</v>
      </c>
      <c r="H10" s="13" t="s">
        <v>28</v>
      </c>
      <c r="I10" s="13" t="s">
        <v>28</v>
      </c>
      <c r="J10" s="12" t="s">
        <v>61</v>
      </c>
      <c r="K10" s="13" t="s">
        <v>30</v>
      </c>
      <c r="L10" s="13" t="s">
        <v>28</v>
      </c>
      <c r="M10" s="13" t="s">
        <v>28</v>
      </c>
      <c r="N10" s="13" t="s">
        <v>28</v>
      </c>
      <c r="O10" s="13" t="s">
        <v>28</v>
      </c>
      <c r="P10" s="13" t="s">
        <v>31</v>
      </c>
      <c r="Q10" s="13" t="s">
        <v>31</v>
      </c>
      <c r="R10" s="13" t="s">
        <v>31</v>
      </c>
      <c r="S10" s="13" t="s">
        <v>31</v>
      </c>
      <c r="T10" s="13" t="s">
        <v>28</v>
      </c>
      <c r="U10" s="13" t="s">
        <v>31</v>
      </c>
      <c r="V10" s="13" t="s">
        <v>31</v>
      </c>
      <c r="W10" s="13" t="s">
        <v>31</v>
      </c>
      <c r="X10" s="13" t="s">
        <v>28</v>
      </c>
      <c r="Y10" s="15" t="s">
        <v>28</v>
      </c>
    </row>
    <row r="11" spans="1:25" x14ac:dyDescent="0.45">
      <c r="A11" s="11" t="s">
        <v>62</v>
      </c>
      <c r="B11" s="17" t="s">
        <v>63</v>
      </c>
      <c r="C11" s="13" t="s">
        <v>64</v>
      </c>
      <c r="D11" s="12" t="s">
        <v>65</v>
      </c>
      <c r="E11" s="13" t="s">
        <v>28</v>
      </c>
      <c r="F11" s="12"/>
      <c r="G11" s="13" t="s">
        <v>31</v>
      </c>
      <c r="H11" s="13" t="s">
        <v>28</v>
      </c>
      <c r="I11" s="13" t="s">
        <v>28</v>
      </c>
      <c r="J11" s="12" t="s">
        <v>66</v>
      </c>
      <c r="K11" s="13" t="s">
        <v>41</v>
      </c>
      <c r="L11" s="13" t="s">
        <v>31</v>
      </c>
      <c r="M11" s="13" t="s">
        <v>31</v>
      </c>
      <c r="N11" s="13" t="s">
        <v>31</v>
      </c>
      <c r="O11" s="13" t="s">
        <v>28</v>
      </c>
      <c r="P11" s="13" t="s">
        <v>31</v>
      </c>
      <c r="Q11" s="13" t="s">
        <v>28</v>
      </c>
      <c r="R11" s="13" t="s">
        <v>28</v>
      </c>
      <c r="S11" s="13" t="s">
        <v>28</v>
      </c>
      <c r="T11" s="13" t="s">
        <v>28</v>
      </c>
      <c r="U11" s="13" t="s">
        <v>28</v>
      </c>
      <c r="V11" s="13" t="s">
        <v>28</v>
      </c>
      <c r="W11" s="13" t="s">
        <v>31</v>
      </c>
      <c r="X11" s="13" t="s">
        <v>31</v>
      </c>
      <c r="Y11" s="15" t="s">
        <v>28</v>
      </c>
    </row>
    <row r="12" spans="1:25" x14ac:dyDescent="0.45">
      <c r="A12" s="11" t="s">
        <v>67</v>
      </c>
      <c r="B12" s="12" t="s">
        <v>68</v>
      </c>
      <c r="C12" s="13" t="s">
        <v>69</v>
      </c>
      <c r="D12" s="12" t="s">
        <v>65</v>
      </c>
      <c r="E12" s="13" t="s">
        <v>31</v>
      </c>
      <c r="F12" s="18">
        <f>73076*0.7335</f>
        <v>53601.246000000006</v>
      </c>
      <c r="G12" s="13" t="s">
        <v>31</v>
      </c>
      <c r="H12" s="13" t="s">
        <v>28</v>
      </c>
      <c r="I12" s="13" t="s">
        <v>28</v>
      </c>
      <c r="J12" s="12" t="s">
        <v>70</v>
      </c>
      <c r="K12" s="13" t="s">
        <v>41</v>
      </c>
      <c r="L12" s="13" t="s">
        <v>31</v>
      </c>
      <c r="M12" s="13" t="s">
        <v>28</v>
      </c>
      <c r="N12" s="13" t="s">
        <v>28</v>
      </c>
      <c r="O12" s="13" t="s">
        <v>28</v>
      </c>
      <c r="P12" s="13" t="s">
        <v>28</v>
      </c>
      <c r="Q12" s="13" t="s">
        <v>31</v>
      </c>
      <c r="R12" s="13" t="s">
        <v>31</v>
      </c>
      <c r="S12" s="13" t="s">
        <v>31</v>
      </c>
      <c r="T12" s="13" t="s">
        <v>31</v>
      </c>
      <c r="U12" s="13" t="s">
        <v>31</v>
      </c>
      <c r="V12" s="13" t="s">
        <v>31</v>
      </c>
      <c r="W12" s="13" t="s">
        <v>31</v>
      </c>
      <c r="X12" s="13" t="s">
        <v>28</v>
      </c>
      <c r="Y12" s="15" t="s">
        <v>31</v>
      </c>
    </row>
    <row r="13" spans="1:25" x14ac:dyDescent="0.45">
      <c r="A13" s="19" t="s">
        <v>71</v>
      </c>
      <c r="B13" s="12" t="s">
        <v>68</v>
      </c>
      <c r="C13" s="13" t="s">
        <v>72</v>
      </c>
      <c r="D13" s="12" t="s">
        <v>65</v>
      </c>
      <c r="E13" s="13" t="s">
        <v>31</v>
      </c>
      <c r="F13" s="18">
        <f>55756*0.7335</f>
        <v>40897.026000000005</v>
      </c>
      <c r="G13" s="13" t="s">
        <v>31</v>
      </c>
      <c r="H13" s="13" t="s">
        <v>28</v>
      </c>
      <c r="I13" s="13" t="s">
        <v>28</v>
      </c>
      <c r="J13" s="12" t="s">
        <v>73</v>
      </c>
      <c r="K13" s="13" t="s">
        <v>41</v>
      </c>
      <c r="L13" s="13" t="s">
        <v>31</v>
      </c>
      <c r="M13" s="13" t="s">
        <v>28</v>
      </c>
      <c r="N13" s="13" t="s">
        <v>31</v>
      </c>
      <c r="O13" s="13" t="s">
        <v>28</v>
      </c>
      <c r="P13" s="13" t="s">
        <v>28</v>
      </c>
      <c r="Q13" s="13" t="s">
        <v>31</v>
      </c>
      <c r="R13" s="13" t="s">
        <v>31</v>
      </c>
      <c r="S13" s="13" t="s">
        <v>31</v>
      </c>
      <c r="T13" s="13" t="s">
        <v>28</v>
      </c>
      <c r="U13" s="13" t="s">
        <v>31</v>
      </c>
      <c r="V13" s="13" t="s">
        <v>31</v>
      </c>
      <c r="W13" s="13" t="s">
        <v>28</v>
      </c>
      <c r="X13" s="13" t="s">
        <v>28</v>
      </c>
      <c r="Y13" s="15" t="s">
        <v>31</v>
      </c>
    </row>
    <row r="14" spans="1:25" x14ac:dyDescent="0.45">
      <c r="A14" s="11" t="s">
        <v>74</v>
      </c>
      <c r="B14" s="12" t="s">
        <v>75</v>
      </c>
      <c r="C14" s="13" t="s">
        <v>76</v>
      </c>
      <c r="D14" s="12" t="s">
        <v>65</v>
      </c>
      <c r="E14" s="13" t="s">
        <v>31</v>
      </c>
      <c r="F14" s="18">
        <f>67000*0.7335</f>
        <v>49144.5</v>
      </c>
      <c r="G14" s="13" t="s">
        <v>31</v>
      </c>
      <c r="H14" s="13" t="s">
        <v>28</v>
      </c>
      <c r="I14" s="13" t="s">
        <v>28</v>
      </c>
      <c r="J14" s="12" t="s">
        <v>77</v>
      </c>
      <c r="K14" s="13" t="s">
        <v>41</v>
      </c>
      <c r="L14" s="13" t="s">
        <v>31</v>
      </c>
      <c r="M14" s="13" t="s">
        <v>28</v>
      </c>
      <c r="N14" s="13" t="s">
        <v>28</v>
      </c>
      <c r="O14" s="13" t="s">
        <v>28</v>
      </c>
      <c r="P14" s="13" t="s">
        <v>28</v>
      </c>
      <c r="Q14" s="13" t="s">
        <v>31</v>
      </c>
      <c r="R14" s="13" t="s">
        <v>31</v>
      </c>
      <c r="S14" s="13" t="s">
        <v>31</v>
      </c>
      <c r="T14" s="13" t="s">
        <v>28</v>
      </c>
      <c r="U14" s="13" t="s">
        <v>28</v>
      </c>
      <c r="V14" s="13" t="s">
        <v>31</v>
      </c>
      <c r="W14" s="13" t="s">
        <v>31</v>
      </c>
      <c r="X14" s="13" t="s">
        <v>28</v>
      </c>
      <c r="Y14" s="15" t="s">
        <v>31</v>
      </c>
    </row>
    <row r="15" spans="1:25" x14ac:dyDescent="0.45">
      <c r="A15" s="11" t="s">
        <v>78</v>
      </c>
      <c r="B15" s="12" t="s">
        <v>68</v>
      </c>
      <c r="C15" s="13" t="s">
        <v>72</v>
      </c>
      <c r="D15" s="12" t="s">
        <v>65</v>
      </c>
      <c r="E15" s="13" t="s">
        <v>31</v>
      </c>
      <c r="F15" s="18">
        <f>43683*0.7335</f>
        <v>32041.480500000001</v>
      </c>
      <c r="G15" s="13" t="s">
        <v>31</v>
      </c>
      <c r="H15" s="13" t="s">
        <v>28</v>
      </c>
      <c r="I15" s="13" t="s">
        <v>28</v>
      </c>
      <c r="J15" s="12" t="s">
        <v>79</v>
      </c>
      <c r="K15" s="13" t="s">
        <v>41</v>
      </c>
      <c r="L15" s="13" t="s">
        <v>31</v>
      </c>
      <c r="M15" s="13" t="s">
        <v>28</v>
      </c>
      <c r="N15" s="13" t="s">
        <v>31</v>
      </c>
      <c r="O15" s="13" t="s">
        <v>28</v>
      </c>
      <c r="P15" s="13" t="s">
        <v>28</v>
      </c>
      <c r="Q15" s="13" t="s">
        <v>31</v>
      </c>
      <c r="R15" s="13" t="s">
        <v>31</v>
      </c>
      <c r="S15" s="13" t="s">
        <v>31</v>
      </c>
      <c r="T15" s="13" t="s">
        <v>28</v>
      </c>
      <c r="U15" s="13" t="s">
        <v>31</v>
      </c>
      <c r="V15" s="13" t="s">
        <v>31</v>
      </c>
      <c r="W15" s="13" t="s">
        <v>31</v>
      </c>
      <c r="X15" s="13" t="s">
        <v>28</v>
      </c>
      <c r="Y15" s="15" t="s">
        <v>31</v>
      </c>
    </row>
    <row r="16" spans="1:25" x14ac:dyDescent="0.45">
      <c r="A16" s="11" t="s">
        <v>80</v>
      </c>
      <c r="B16" s="12" t="s">
        <v>81</v>
      </c>
      <c r="C16" s="13" t="s">
        <v>82</v>
      </c>
      <c r="D16" s="12" t="s">
        <v>83</v>
      </c>
      <c r="E16" s="13" t="s">
        <v>28</v>
      </c>
      <c r="F16" s="12"/>
      <c r="G16" s="13" t="s">
        <v>31</v>
      </c>
      <c r="H16" s="13" t="s">
        <v>31</v>
      </c>
      <c r="I16" s="13" t="s">
        <v>28</v>
      </c>
      <c r="J16" s="12" t="s">
        <v>84</v>
      </c>
      <c r="K16" s="13" t="s">
        <v>41</v>
      </c>
      <c r="L16" s="13" t="s">
        <v>31</v>
      </c>
      <c r="M16" s="13" t="s">
        <v>28</v>
      </c>
      <c r="N16" s="13" t="s">
        <v>28</v>
      </c>
      <c r="O16" s="13" t="s">
        <v>28</v>
      </c>
      <c r="P16" s="13" t="s">
        <v>28</v>
      </c>
      <c r="Q16" s="13" t="s">
        <v>31</v>
      </c>
      <c r="R16" s="13" t="s">
        <v>31</v>
      </c>
      <c r="S16" s="13" t="s">
        <v>31</v>
      </c>
      <c r="T16" s="13" t="s">
        <v>31</v>
      </c>
      <c r="U16" s="13" t="s">
        <v>31</v>
      </c>
      <c r="V16" s="13" t="s">
        <v>31</v>
      </c>
      <c r="W16" s="13" t="s">
        <v>31</v>
      </c>
      <c r="X16" s="13" t="s">
        <v>31</v>
      </c>
      <c r="Y16" s="15" t="s">
        <v>28</v>
      </c>
    </row>
    <row r="17" spans="1:25" x14ac:dyDescent="0.45">
      <c r="A17" s="11" t="s">
        <v>85</v>
      </c>
      <c r="B17" s="12" t="s">
        <v>86</v>
      </c>
      <c r="C17" s="13" t="s">
        <v>69</v>
      </c>
      <c r="D17" s="12" t="s">
        <v>83</v>
      </c>
      <c r="E17" s="13" t="s">
        <v>31</v>
      </c>
      <c r="F17" s="18">
        <f>0.7335*73076</f>
        <v>53601.246000000006</v>
      </c>
      <c r="G17" s="13" t="s">
        <v>31</v>
      </c>
      <c r="H17" s="13" t="s">
        <v>28</v>
      </c>
      <c r="I17" s="13" t="s">
        <v>28</v>
      </c>
      <c r="J17" s="12" t="s">
        <v>70</v>
      </c>
      <c r="K17" s="13" t="s">
        <v>41</v>
      </c>
      <c r="L17" s="13" t="s">
        <v>31</v>
      </c>
      <c r="M17" s="13" t="s">
        <v>28</v>
      </c>
      <c r="N17" s="13" t="s">
        <v>28</v>
      </c>
      <c r="O17" s="13" t="s">
        <v>28</v>
      </c>
      <c r="P17" s="13" t="s">
        <v>28</v>
      </c>
      <c r="Q17" s="13" t="s">
        <v>31</v>
      </c>
      <c r="R17" s="13" t="s">
        <v>31</v>
      </c>
      <c r="S17" s="13" t="s">
        <v>31</v>
      </c>
      <c r="T17" s="13" t="s">
        <v>28</v>
      </c>
      <c r="U17" s="13" t="s">
        <v>28</v>
      </c>
      <c r="V17" s="13" t="s">
        <v>31</v>
      </c>
      <c r="W17" s="13" t="s">
        <v>31</v>
      </c>
      <c r="X17" s="13" t="s">
        <v>28</v>
      </c>
      <c r="Y17" s="15" t="s">
        <v>28</v>
      </c>
    </row>
    <row r="18" spans="1:25" x14ac:dyDescent="0.45">
      <c r="A18" s="11" t="s">
        <v>87</v>
      </c>
      <c r="B18" s="12" t="s">
        <v>88</v>
      </c>
      <c r="C18" s="13" t="s">
        <v>89</v>
      </c>
      <c r="D18" s="12" t="s">
        <v>90</v>
      </c>
      <c r="E18" s="13" t="s">
        <v>31</v>
      </c>
      <c r="F18" s="12"/>
      <c r="G18" s="13" t="s">
        <v>31</v>
      </c>
      <c r="H18" s="13" t="s">
        <v>28</v>
      </c>
      <c r="I18" s="13" t="s">
        <v>28</v>
      </c>
      <c r="J18" s="12" t="s">
        <v>91</v>
      </c>
      <c r="K18" s="13" t="s">
        <v>41</v>
      </c>
      <c r="L18" s="13" t="s">
        <v>28</v>
      </c>
      <c r="M18" s="13" t="s">
        <v>28</v>
      </c>
      <c r="N18" s="13" t="s">
        <v>28</v>
      </c>
      <c r="O18" s="13" t="s">
        <v>28</v>
      </c>
      <c r="P18" s="13" t="s">
        <v>28</v>
      </c>
      <c r="Q18" s="13" t="s">
        <v>31</v>
      </c>
      <c r="R18" s="13" t="s">
        <v>28</v>
      </c>
      <c r="S18" s="13" t="s">
        <v>28</v>
      </c>
      <c r="T18" s="13" t="s">
        <v>31</v>
      </c>
      <c r="U18" s="13" t="s">
        <v>31</v>
      </c>
      <c r="V18" s="13" t="s">
        <v>31</v>
      </c>
      <c r="W18" s="13" t="s">
        <v>31</v>
      </c>
      <c r="X18" s="13" t="s">
        <v>28</v>
      </c>
      <c r="Y18" s="15" t="s">
        <v>28</v>
      </c>
    </row>
    <row r="19" spans="1:25" x14ac:dyDescent="0.45">
      <c r="A19" s="11" t="s">
        <v>92</v>
      </c>
      <c r="B19" s="12" t="s">
        <v>93</v>
      </c>
      <c r="C19" s="13" t="s">
        <v>94</v>
      </c>
      <c r="D19" s="12" t="s">
        <v>90</v>
      </c>
      <c r="E19" s="13" t="s">
        <v>31</v>
      </c>
      <c r="F19" s="12"/>
      <c r="G19" s="13" t="s">
        <v>31</v>
      </c>
      <c r="H19" s="13" t="s">
        <v>28</v>
      </c>
      <c r="I19" s="13" t="s">
        <v>28</v>
      </c>
      <c r="J19" s="12" t="s">
        <v>95</v>
      </c>
      <c r="K19" s="13" t="s">
        <v>30</v>
      </c>
      <c r="L19" s="13" t="s">
        <v>28</v>
      </c>
      <c r="M19" s="13" t="s">
        <v>28</v>
      </c>
      <c r="N19" s="13" t="s">
        <v>28</v>
      </c>
      <c r="O19" s="13" t="s">
        <v>28</v>
      </c>
      <c r="P19" s="13" t="s">
        <v>28</v>
      </c>
      <c r="Q19" s="13" t="s">
        <v>31</v>
      </c>
      <c r="R19" s="13" t="s">
        <v>31</v>
      </c>
      <c r="S19" s="13" t="s">
        <v>31</v>
      </c>
      <c r="T19" s="13" t="s">
        <v>28</v>
      </c>
      <c r="U19" s="13" t="s">
        <v>28</v>
      </c>
      <c r="V19" s="13" t="s">
        <v>31</v>
      </c>
      <c r="W19" s="13" t="s">
        <v>31</v>
      </c>
      <c r="X19" s="13" t="s">
        <v>28</v>
      </c>
      <c r="Y19" s="15" t="s">
        <v>28</v>
      </c>
    </row>
    <row r="20" spans="1:25" x14ac:dyDescent="0.45">
      <c r="A20" s="11" t="s">
        <v>96</v>
      </c>
      <c r="B20" s="12" t="s">
        <v>97</v>
      </c>
      <c r="C20" s="13" t="s">
        <v>98</v>
      </c>
      <c r="D20" s="12" t="s">
        <v>90</v>
      </c>
      <c r="E20" s="13" t="s">
        <v>28</v>
      </c>
      <c r="F20" s="12"/>
      <c r="G20" s="13" t="s">
        <v>31</v>
      </c>
      <c r="H20" s="13" t="s">
        <v>28</v>
      </c>
      <c r="I20" s="13" t="s">
        <v>28</v>
      </c>
      <c r="J20" s="12" t="s">
        <v>99</v>
      </c>
      <c r="K20" s="13" t="s">
        <v>30</v>
      </c>
      <c r="L20" s="13" t="s">
        <v>28</v>
      </c>
      <c r="M20" s="13" t="s">
        <v>28</v>
      </c>
      <c r="N20" s="13" t="s">
        <v>28</v>
      </c>
      <c r="O20" s="13" t="s">
        <v>28</v>
      </c>
      <c r="P20" s="13" t="s">
        <v>28</v>
      </c>
      <c r="Q20" s="13" t="s">
        <v>31</v>
      </c>
      <c r="R20" s="13" t="s">
        <v>28</v>
      </c>
      <c r="S20" s="13" t="s">
        <v>28</v>
      </c>
      <c r="T20" s="13" t="s">
        <v>28</v>
      </c>
      <c r="U20" s="13" t="s">
        <v>28</v>
      </c>
      <c r="V20" s="13" t="s">
        <v>28</v>
      </c>
      <c r="W20" s="13" t="s">
        <v>28</v>
      </c>
      <c r="X20" s="13" t="s">
        <v>28</v>
      </c>
      <c r="Y20" s="15" t="s">
        <v>28</v>
      </c>
    </row>
    <row r="21" spans="1:25" x14ac:dyDescent="0.45">
      <c r="A21" s="11" t="s">
        <v>100</v>
      </c>
      <c r="B21" s="12" t="s">
        <v>101</v>
      </c>
      <c r="C21" s="13" t="s">
        <v>102</v>
      </c>
      <c r="D21" s="12" t="s">
        <v>90</v>
      </c>
      <c r="E21" s="13" t="s">
        <v>31</v>
      </c>
      <c r="F21" s="14">
        <v>14000</v>
      </c>
      <c r="G21" s="13" t="s">
        <v>28</v>
      </c>
      <c r="H21" s="13" t="s">
        <v>28</v>
      </c>
      <c r="I21" s="13" t="s">
        <v>28</v>
      </c>
      <c r="J21" s="12" t="s">
        <v>103</v>
      </c>
      <c r="K21" s="13" t="s">
        <v>30</v>
      </c>
      <c r="L21" s="13" t="s">
        <v>28</v>
      </c>
      <c r="M21" s="13" t="s">
        <v>28</v>
      </c>
      <c r="N21" s="13" t="s">
        <v>28</v>
      </c>
      <c r="O21" s="13" t="s">
        <v>28</v>
      </c>
      <c r="P21" s="13" t="s">
        <v>28</v>
      </c>
      <c r="Q21" s="13" t="s">
        <v>31</v>
      </c>
      <c r="R21" s="13" t="s">
        <v>31</v>
      </c>
      <c r="S21" s="13" t="s">
        <v>28</v>
      </c>
      <c r="T21" s="13" t="s">
        <v>28</v>
      </c>
      <c r="U21" s="13" t="s">
        <v>28</v>
      </c>
      <c r="V21" s="13" t="s">
        <v>31</v>
      </c>
      <c r="W21" s="13" t="s">
        <v>31</v>
      </c>
      <c r="X21" s="13" t="s">
        <v>28</v>
      </c>
      <c r="Y21" s="15" t="s">
        <v>28</v>
      </c>
    </row>
    <row r="22" spans="1:25" x14ac:dyDescent="0.45">
      <c r="A22" s="11" t="s">
        <v>104</v>
      </c>
      <c r="B22" s="12" t="s">
        <v>105</v>
      </c>
      <c r="C22" s="13" t="s">
        <v>106</v>
      </c>
      <c r="D22" s="12" t="s">
        <v>107</v>
      </c>
      <c r="E22" s="13" t="s">
        <v>31</v>
      </c>
      <c r="F22" s="12"/>
      <c r="G22" s="13" t="s">
        <v>28</v>
      </c>
      <c r="H22" s="13" t="s">
        <v>28</v>
      </c>
      <c r="I22" s="13" t="s">
        <v>31</v>
      </c>
      <c r="J22" s="12" t="s">
        <v>61</v>
      </c>
      <c r="K22" s="13" t="s">
        <v>30</v>
      </c>
      <c r="L22" s="13" t="s">
        <v>28</v>
      </c>
      <c r="M22" s="13" t="s">
        <v>28</v>
      </c>
      <c r="N22" s="13" t="s">
        <v>28</v>
      </c>
      <c r="O22" s="13" t="s">
        <v>28</v>
      </c>
      <c r="P22" s="13" t="s">
        <v>31</v>
      </c>
      <c r="Q22" s="13" t="s">
        <v>28</v>
      </c>
      <c r="R22" s="13" t="s">
        <v>31</v>
      </c>
      <c r="S22" s="13" t="s">
        <v>31</v>
      </c>
      <c r="T22" s="13" t="s">
        <v>28</v>
      </c>
      <c r="U22" s="13" t="s">
        <v>31</v>
      </c>
      <c r="V22" s="13" t="s">
        <v>31</v>
      </c>
      <c r="W22" s="13" t="s">
        <v>31</v>
      </c>
      <c r="X22" s="13" t="s">
        <v>28</v>
      </c>
      <c r="Y22" s="15" t="s">
        <v>28</v>
      </c>
    </row>
    <row r="23" spans="1:25" x14ac:dyDescent="0.45">
      <c r="A23" s="11" t="s">
        <v>108</v>
      </c>
      <c r="B23" s="12" t="s">
        <v>109</v>
      </c>
      <c r="C23" s="13" t="s">
        <v>110</v>
      </c>
      <c r="D23" s="12" t="s">
        <v>107</v>
      </c>
      <c r="E23" s="13" t="s">
        <v>28</v>
      </c>
      <c r="F23" s="12"/>
      <c r="G23" s="13" t="s">
        <v>28</v>
      </c>
      <c r="H23" s="13" t="s">
        <v>28</v>
      </c>
      <c r="I23" s="13" t="s">
        <v>31</v>
      </c>
      <c r="J23" s="12" t="s">
        <v>111</v>
      </c>
      <c r="K23" s="13" t="s">
        <v>41</v>
      </c>
      <c r="L23" s="13" t="s">
        <v>31</v>
      </c>
      <c r="M23" s="13" t="s">
        <v>28</v>
      </c>
      <c r="N23" s="13" t="s">
        <v>28</v>
      </c>
      <c r="O23" s="13" t="s">
        <v>28</v>
      </c>
      <c r="P23" s="13" t="s">
        <v>28</v>
      </c>
      <c r="Q23" s="13" t="s">
        <v>31</v>
      </c>
      <c r="R23" s="13" t="s">
        <v>31</v>
      </c>
      <c r="S23" s="13" t="s">
        <v>31</v>
      </c>
      <c r="T23" s="13" t="s">
        <v>28</v>
      </c>
      <c r="U23" s="13" t="s">
        <v>28</v>
      </c>
      <c r="V23" s="13" t="s">
        <v>31</v>
      </c>
      <c r="W23" s="13" t="s">
        <v>31</v>
      </c>
      <c r="X23" s="13" t="s">
        <v>28</v>
      </c>
      <c r="Y23" s="15" t="s">
        <v>28</v>
      </c>
    </row>
    <row r="24" spans="1:25" x14ac:dyDescent="0.45">
      <c r="A24" s="11" t="s">
        <v>112</v>
      </c>
      <c r="B24" s="12" t="s">
        <v>113</v>
      </c>
      <c r="C24" s="13" t="s">
        <v>114</v>
      </c>
      <c r="D24" s="12" t="s">
        <v>115</v>
      </c>
      <c r="E24" s="13" t="s">
        <v>31</v>
      </c>
      <c r="F24" s="14"/>
      <c r="G24" s="13" t="s">
        <v>28</v>
      </c>
      <c r="H24" s="13" t="s">
        <v>28</v>
      </c>
      <c r="I24" s="13" t="s">
        <v>28</v>
      </c>
      <c r="J24" s="12" t="s">
        <v>116</v>
      </c>
      <c r="K24" s="13" t="s">
        <v>30</v>
      </c>
      <c r="L24" s="13" t="s">
        <v>28</v>
      </c>
      <c r="M24" s="13" t="s">
        <v>28</v>
      </c>
      <c r="N24" s="13" t="s">
        <v>28</v>
      </c>
      <c r="O24" s="13" t="s">
        <v>28</v>
      </c>
      <c r="P24" s="13" t="s">
        <v>31</v>
      </c>
      <c r="Q24" s="13" t="s">
        <v>31</v>
      </c>
      <c r="R24" s="13" t="s">
        <v>31</v>
      </c>
      <c r="S24" s="13" t="s">
        <v>31</v>
      </c>
      <c r="T24" s="13" t="s">
        <v>28</v>
      </c>
      <c r="U24" s="13" t="s">
        <v>28</v>
      </c>
      <c r="V24" s="13" t="s">
        <v>31</v>
      </c>
      <c r="W24" s="13" t="s">
        <v>31</v>
      </c>
      <c r="X24" s="13" t="s">
        <v>28</v>
      </c>
      <c r="Y24" s="15" t="s">
        <v>28</v>
      </c>
    </row>
    <row r="25" spans="1:25" x14ac:dyDescent="0.45">
      <c r="A25" s="11" t="s">
        <v>117</v>
      </c>
      <c r="B25" s="12" t="s">
        <v>118</v>
      </c>
      <c r="C25" s="13" t="s">
        <v>119</v>
      </c>
      <c r="D25" s="12" t="s">
        <v>120</v>
      </c>
      <c r="E25" s="13" t="s">
        <v>28</v>
      </c>
      <c r="F25" s="18">
        <f>0.7335*4441*10</f>
        <v>32574.735000000001</v>
      </c>
      <c r="G25" s="13" t="s">
        <v>28</v>
      </c>
      <c r="H25" s="13" t="s">
        <v>28</v>
      </c>
      <c r="I25" s="13" t="s">
        <v>28</v>
      </c>
      <c r="J25" s="12" t="s">
        <v>121</v>
      </c>
      <c r="K25" s="13" t="s">
        <v>41</v>
      </c>
      <c r="L25" s="13" t="s">
        <v>31</v>
      </c>
      <c r="M25" s="13" t="s">
        <v>28</v>
      </c>
      <c r="N25" s="13" t="s">
        <v>28</v>
      </c>
      <c r="O25" s="13" t="s">
        <v>28</v>
      </c>
      <c r="P25" s="13" t="s">
        <v>31</v>
      </c>
      <c r="Q25" s="13" t="s">
        <v>28</v>
      </c>
      <c r="R25" s="13" t="s">
        <v>28</v>
      </c>
      <c r="S25" s="13" t="s">
        <v>28</v>
      </c>
      <c r="T25" s="13" t="s">
        <v>28</v>
      </c>
      <c r="U25" s="13" t="s">
        <v>28</v>
      </c>
      <c r="V25" s="13" t="s">
        <v>28</v>
      </c>
      <c r="W25" s="13" t="s">
        <v>28</v>
      </c>
      <c r="X25" s="13" t="s">
        <v>31</v>
      </c>
      <c r="Y25" s="15" t="s">
        <v>28</v>
      </c>
    </row>
    <row r="26" spans="1:25" x14ac:dyDescent="0.45">
      <c r="A26" s="11" t="s">
        <v>122</v>
      </c>
      <c r="B26" s="12" t="s">
        <v>123</v>
      </c>
      <c r="C26" s="13" t="s">
        <v>124</v>
      </c>
      <c r="D26" s="12" t="s">
        <v>120</v>
      </c>
      <c r="E26" s="13" t="s">
        <v>28</v>
      </c>
      <c r="F26" s="18"/>
      <c r="G26" s="13" t="s">
        <v>28</v>
      </c>
      <c r="H26" s="13" t="s">
        <v>28</v>
      </c>
      <c r="I26" s="13" t="s">
        <v>28</v>
      </c>
      <c r="J26" s="12" t="s">
        <v>125</v>
      </c>
      <c r="K26" s="13" t="s">
        <v>41</v>
      </c>
      <c r="L26" s="13" t="s">
        <v>31</v>
      </c>
      <c r="M26" s="13" t="s">
        <v>28</v>
      </c>
      <c r="N26" s="13" t="s">
        <v>28</v>
      </c>
      <c r="O26" s="13" t="s">
        <v>28</v>
      </c>
      <c r="P26" s="13" t="s">
        <v>28</v>
      </c>
      <c r="Q26" s="13" t="s">
        <v>31</v>
      </c>
      <c r="R26" s="13" t="s">
        <v>28</v>
      </c>
      <c r="S26" s="13" t="s">
        <v>28</v>
      </c>
      <c r="T26" s="13" t="s">
        <v>31</v>
      </c>
      <c r="U26" s="13" t="s">
        <v>31</v>
      </c>
      <c r="V26" s="13" t="s">
        <v>28</v>
      </c>
      <c r="W26" s="13" t="s">
        <v>31</v>
      </c>
      <c r="X26" s="13" t="s">
        <v>28</v>
      </c>
      <c r="Y26" s="15" t="s">
        <v>28</v>
      </c>
    </row>
    <row r="27" spans="1:25" x14ac:dyDescent="0.45">
      <c r="A27" s="11" t="s">
        <v>126</v>
      </c>
      <c r="B27" s="12" t="s">
        <v>127</v>
      </c>
      <c r="C27" s="13" t="s">
        <v>128</v>
      </c>
      <c r="D27" s="12" t="s">
        <v>120</v>
      </c>
      <c r="E27" s="13" t="s">
        <v>31</v>
      </c>
      <c r="F27" s="18">
        <f>16*7*5*4*10*0.7335</f>
        <v>16430.400000000001</v>
      </c>
      <c r="G27" s="13" t="s">
        <v>31</v>
      </c>
      <c r="H27" s="13" t="s">
        <v>28</v>
      </c>
      <c r="I27" s="13" t="s">
        <v>28</v>
      </c>
      <c r="J27" s="12" t="s">
        <v>129</v>
      </c>
      <c r="K27" s="13" t="s">
        <v>41</v>
      </c>
      <c r="L27" s="13" t="s">
        <v>28</v>
      </c>
      <c r="M27" s="13" t="s">
        <v>28</v>
      </c>
      <c r="N27" s="13" t="s">
        <v>28</v>
      </c>
      <c r="O27" s="13" t="s">
        <v>28</v>
      </c>
      <c r="P27" s="13" t="s">
        <v>28</v>
      </c>
      <c r="Q27" s="13" t="s">
        <v>31</v>
      </c>
      <c r="R27" s="13" t="s">
        <v>28</v>
      </c>
      <c r="S27" s="13" t="s">
        <v>28</v>
      </c>
      <c r="T27" s="13" t="s">
        <v>31</v>
      </c>
      <c r="U27" s="13" t="s">
        <v>31</v>
      </c>
      <c r="V27" s="13" t="s">
        <v>28</v>
      </c>
      <c r="W27" s="13" t="s">
        <v>31</v>
      </c>
      <c r="X27" s="13" t="s">
        <v>28</v>
      </c>
      <c r="Y27" s="15" t="s">
        <v>28</v>
      </c>
    </row>
    <row r="28" spans="1:25" x14ac:dyDescent="0.45">
      <c r="A28" s="11" t="s">
        <v>117</v>
      </c>
      <c r="B28" s="12" t="s">
        <v>118</v>
      </c>
      <c r="C28" s="13" t="s">
        <v>119</v>
      </c>
      <c r="D28" s="12" t="s">
        <v>120</v>
      </c>
      <c r="E28" s="13" t="s">
        <v>28</v>
      </c>
      <c r="F28" s="18">
        <f>4441*10*0.7335</f>
        <v>32574.735000000001</v>
      </c>
      <c r="G28" s="13" t="s">
        <v>28</v>
      </c>
      <c r="H28" s="13" t="s">
        <v>28</v>
      </c>
      <c r="I28" s="13" t="s">
        <v>28</v>
      </c>
      <c r="J28" s="12" t="s">
        <v>121</v>
      </c>
      <c r="K28" s="13" t="s">
        <v>41</v>
      </c>
      <c r="L28" s="13" t="s">
        <v>31</v>
      </c>
      <c r="M28" s="13" t="s">
        <v>28</v>
      </c>
      <c r="N28" s="13" t="s">
        <v>28</v>
      </c>
      <c r="O28" s="13" t="s">
        <v>28</v>
      </c>
      <c r="P28" s="13" t="s">
        <v>31</v>
      </c>
      <c r="Q28" s="13" t="s">
        <v>28</v>
      </c>
      <c r="R28" s="13" t="s">
        <v>28</v>
      </c>
      <c r="S28" s="13" t="s">
        <v>28</v>
      </c>
      <c r="T28" s="13" t="s">
        <v>28</v>
      </c>
      <c r="U28" s="13" t="s">
        <v>28</v>
      </c>
      <c r="V28" s="13" t="s">
        <v>28</v>
      </c>
      <c r="W28" s="13" t="s">
        <v>28</v>
      </c>
      <c r="X28" s="13" t="s">
        <v>31</v>
      </c>
      <c r="Y28" s="15" t="s">
        <v>28</v>
      </c>
    </row>
    <row r="29" spans="1:25" x14ac:dyDescent="0.45">
      <c r="A29" s="11" t="s">
        <v>130</v>
      </c>
      <c r="B29" s="12" t="s">
        <v>131</v>
      </c>
      <c r="C29" s="13" t="s">
        <v>132</v>
      </c>
      <c r="D29" s="12" t="s">
        <v>120</v>
      </c>
      <c r="E29" s="13" t="s">
        <v>31</v>
      </c>
      <c r="F29" s="18">
        <f>0.7335*39000</f>
        <v>28606.5</v>
      </c>
      <c r="G29" s="13" t="s">
        <v>31</v>
      </c>
      <c r="H29" s="13" t="s">
        <v>28</v>
      </c>
      <c r="I29" s="13" t="s">
        <v>28</v>
      </c>
      <c r="J29" s="12" t="s">
        <v>133</v>
      </c>
      <c r="K29" s="13" t="s">
        <v>41</v>
      </c>
      <c r="L29" s="13" t="s">
        <v>28</v>
      </c>
      <c r="M29" s="13" t="s">
        <v>28</v>
      </c>
      <c r="N29" s="13" t="s">
        <v>28</v>
      </c>
      <c r="O29" s="13" t="s">
        <v>28</v>
      </c>
      <c r="P29" s="13" t="s">
        <v>28</v>
      </c>
      <c r="Q29" s="13" t="s">
        <v>28</v>
      </c>
      <c r="R29" s="13" t="s">
        <v>28</v>
      </c>
      <c r="S29" s="13" t="s">
        <v>28</v>
      </c>
      <c r="T29" s="13" t="s">
        <v>31</v>
      </c>
      <c r="U29" s="13" t="s">
        <v>31</v>
      </c>
      <c r="V29" s="13" t="s">
        <v>28</v>
      </c>
      <c r="W29" s="13" t="s">
        <v>31</v>
      </c>
      <c r="X29" s="13" t="s">
        <v>31</v>
      </c>
      <c r="Y29" s="15" t="s">
        <v>28</v>
      </c>
    </row>
    <row r="30" spans="1:25" x14ac:dyDescent="0.45">
      <c r="A30" s="11" t="s">
        <v>134</v>
      </c>
      <c r="B30" s="12" t="s">
        <v>135</v>
      </c>
      <c r="C30" s="13" t="s">
        <v>136</v>
      </c>
      <c r="D30" s="12" t="s">
        <v>120</v>
      </c>
      <c r="E30" s="13" t="s">
        <v>28</v>
      </c>
      <c r="F30" s="18">
        <f>4441*10*0.7335</f>
        <v>32574.735000000001</v>
      </c>
      <c r="G30" s="13" t="s">
        <v>28</v>
      </c>
      <c r="H30" s="13" t="s">
        <v>28</v>
      </c>
      <c r="I30" s="13" t="s">
        <v>28</v>
      </c>
      <c r="J30" s="12" t="s">
        <v>137</v>
      </c>
      <c r="K30" s="13" t="s">
        <v>41</v>
      </c>
      <c r="L30" s="13" t="s">
        <v>28</v>
      </c>
      <c r="M30" s="13" t="s">
        <v>28</v>
      </c>
      <c r="N30" s="13" t="s">
        <v>28</v>
      </c>
      <c r="O30" s="13" t="s">
        <v>28</v>
      </c>
      <c r="P30" s="13" t="s">
        <v>31</v>
      </c>
      <c r="Q30" s="13" t="s">
        <v>31</v>
      </c>
      <c r="R30" s="13" t="s">
        <v>31</v>
      </c>
      <c r="S30" s="13" t="s">
        <v>31</v>
      </c>
      <c r="T30" s="13" t="s">
        <v>31</v>
      </c>
      <c r="U30" s="13" t="s">
        <v>28</v>
      </c>
      <c r="V30" s="13" t="s">
        <v>31</v>
      </c>
      <c r="W30" s="13" t="s">
        <v>31</v>
      </c>
      <c r="X30" s="13" t="s">
        <v>28</v>
      </c>
      <c r="Y30" s="15" t="s">
        <v>28</v>
      </c>
    </row>
    <row r="31" spans="1:25" x14ac:dyDescent="0.45">
      <c r="A31" s="11" t="s">
        <v>138</v>
      </c>
      <c r="B31" s="12" t="s">
        <v>139</v>
      </c>
      <c r="C31" s="13" t="s">
        <v>140</v>
      </c>
      <c r="D31" s="12" t="s">
        <v>120</v>
      </c>
      <c r="E31" s="13" t="s">
        <v>31</v>
      </c>
      <c r="F31" s="18">
        <f>0.7335*42000</f>
        <v>30807</v>
      </c>
      <c r="G31" s="13" t="s">
        <v>28</v>
      </c>
      <c r="H31" s="13" t="s">
        <v>28</v>
      </c>
      <c r="I31" s="13" t="s">
        <v>28</v>
      </c>
      <c r="J31" s="12" t="s">
        <v>141</v>
      </c>
      <c r="K31" s="13" t="s">
        <v>41</v>
      </c>
      <c r="L31" s="13" t="s">
        <v>28</v>
      </c>
      <c r="M31" s="13" t="s">
        <v>28</v>
      </c>
      <c r="N31" s="13" t="s">
        <v>28</v>
      </c>
      <c r="O31" s="13" t="s">
        <v>28</v>
      </c>
      <c r="P31" s="13" t="s">
        <v>28</v>
      </c>
      <c r="Q31" s="13" t="s">
        <v>31</v>
      </c>
      <c r="R31" s="13" t="s">
        <v>28</v>
      </c>
      <c r="S31" s="13" t="s">
        <v>28</v>
      </c>
      <c r="T31" s="13" t="s">
        <v>31</v>
      </c>
      <c r="U31" s="13" t="s">
        <v>31</v>
      </c>
      <c r="V31" s="13" t="s">
        <v>31</v>
      </c>
      <c r="W31" s="13" t="s">
        <v>31</v>
      </c>
      <c r="X31" s="13" t="s">
        <v>28</v>
      </c>
      <c r="Y31" s="15" t="s">
        <v>28</v>
      </c>
    </row>
    <row r="32" spans="1:25" x14ac:dyDescent="0.45">
      <c r="A32" s="16" t="s">
        <v>142</v>
      </c>
      <c r="B32" s="12" t="s">
        <v>143</v>
      </c>
      <c r="C32" s="13" t="s">
        <v>144</v>
      </c>
      <c r="D32" s="12" t="s">
        <v>120</v>
      </c>
      <c r="E32" s="13" t="s">
        <v>31</v>
      </c>
      <c r="F32" s="14">
        <v>23000</v>
      </c>
      <c r="G32" s="13" t="s">
        <v>31</v>
      </c>
      <c r="H32" s="13" t="s">
        <v>28</v>
      </c>
      <c r="I32" s="13" t="s">
        <v>28</v>
      </c>
      <c r="J32" s="12" t="s">
        <v>145</v>
      </c>
      <c r="K32" s="13" t="s">
        <v>30</v>
      </c>
      <c r="L32" s="13" t="s">
        <v>28</v>
      </c>
      <c r="M32" s="13" t="s">
        <v>28</v>
      </c>
      <c r="N32" s="13" t="s">
        <v>28</v>
      </c>
      <c r="O32" s="13" t="s">
        <v>28</v>
      </c>
      <c r="P32" s="13" t="s">
        <v>28</v>
      </c>
      <c r="Q32" s="13" t="s">
        <v>31</v>
      </c>
      <c r="R32" s="13" t="s">
        <v>31</v>
      </c>
      <c r="S32" s="13" t="s">
        <v>28</v>
      </c>
      <c r="T32" s="13" t="s">
        <v>31</v>
      </c>
      <c r="U32" s="13" t="s">
        <v>31</v>
      </c>
      <c r="V32" s="13" t="s">
        <v>31</v>
      </c>
      <c r="W32" s="13" t="s">
        <v>31</v>
      </c>
      <c r="X32" s="13" t="s">
        <v>28</v>
      </c>
      <c r="Y32" s="15" t="s">
        <v>28</v>
      </c>
    </row>
    <row r="33" spans="1:25" x14ac:dyDescent="0.45">
      <c r="A33" s="11" t="s">
        <v>146</v>
      </c>
      <c r="B33" s="12" t="s">
        <v>147</v>
      </c>
      <c r="C33" s="13" t="s">
        <v>148</v>
      </c>
      <c r="D33" s="12" t="s">
        <v>120</v>
      </c>
      <c r="E33" s="13" t="s">
        <v>28</v>
      </c>
      <c r="F33" s="14"/>
      <c r="G33" s="13" t="s">
        <v>28</v>
      </c>
      <c r="H33" s="13" t="s">
        <v>28</v>
      </c>
      <c r="I33" s="13" t="s">
        <v>28</v>
      </c>
      <c r="J33" s="12" t="s">
        <v>149</v>
      </c>
      <c r="K33" s="13" t="s">
        <v>30</v>
      </c>
      <c r="L33" s="13" t="s">
        <v>28</v>
      </c>
      <c r="M33" s="13" t="s">
        <v>28</v>
      </c>
      <c r="N33" s="13" t="s">
        <v>28</v>
      </c>
      <c r="O33" s="13" t="s">
        <v>28</v>
      </c>
      <c r="P33" s="13" t="s">
        <v>28</v>
      </c>
      <c r="Q33" s="13" t="s">
        <v>31</v>
      </c>
      <c r="R33" s="13" t="s">
        <v>28</v>
      </c>
      <c r="S33" s="13" t="s">
        <v>28</v>
      </c>
      <c r="T33" s="13" t="s">
        <v>31</v>
      </c>
      <c r="U33" s="13" t="s">
        <v>31</v>
      </c>
      <c r="V33" s="13" t="s">
        <v>31</v>
      </c>
      <c r="W33" s="13" t="s">
        <v>31</v>
      </c>
      <c r="X33" s="13" t="s">
        <v>28</v>
      </c>
      <c r="Y33" s="15" t="s">
        <v>28</v>
      </c>
    </row>
    <row r="34" spans="1:25" x14ac:dyDescent="0.45">
      <c r="A34" s="11" t="s">
        <v>150</v>
      </c>
      <c r="B34" s="12" t="s">
        <v>151</v>
      </c>
      <c r="C34" s="13" t="s">
        <v>152</v>
      </c>
      <c r="D34" s="12" t="s">
        <v>120</v>
      </c>
      <c r="E34" s="13" t="s">
        <v>28</v>
      </c>
      <c r="F34" s="14">
        <v>17382</v>
      </c>
      <c r="G34" s="13" t="s">
        <v>31</v>
      </c>
      <c r="H34" s="13" t="s">
        <v>28</v>
      </c>
      <c r="I34" s="13" t="s">
        <v>28</v>
      </c>
      <c r="J34" s="12" t="s">
        <v>153</v>
      </c>
      <c r="K34" s="13" t="s">
        <v>30</v>
      </c>
      <c r="L34" s="13" t="s">
        <v>28</v>
      </c>
      <c r="M34" s="13" t="s">
        <v>28</v>
      </c>
      <c r="N34" s="13" t="s">
        <v>28</v>
      </c>
      <c r="O34" s="13" t="s">
        <v>28</v>
      </c>
      <c r="P34" s="13" t="s">
        <v>28</v>
      </c>
      <c r="Q34" s="13" t="s">
        <v>31</v>
      </c>
      <c r="R34" s="13" t="s">
        <v>28</v>
      </c>
      <c r="S34" s="13" t="s">
        <v>28</v>
      </c>
      <c r="T34" s="13" t="s">
        <v>31</v>
      </c>
      <c r="U34" s="13" t="s">
        <v>28</v>
      </c>
      <c r="V34" s="13" t="s">
        <v>31</v>
      </c>
      <c r="W34" s="13" t="s">
        <v>31</v>
      </c>
      <c r="X34" s="13" t="s">
        <v>28</v>
      </c>
      <c r="Y34" s="15" t="s">
        <v>28</v>
      </c>
    </row>
    <row r="35" spans="1:25" x14ac:dyDescent="0.45">
      <c r="A35" s="11" t="s">
        <v>154</v>
      </c>
      <c r="B35" s="12" t="s">
        <v>155</v>
      </c>
      <c r="C35" s="13" t="s">
        <v>148</v>
      </c>
      <c r="D35" s="12" t="s">
        <v>120</v>
      </c>
      <c r="E35" s="13" t="s">
        <v>28</v>
      </c>
      <c r="F35" s="18">
        <f>0.7335*29777</f>
        <v>21841.429500000002</v>
      </c>
      <c r="G35" s="13" t="s">
        <v>31</v>
      </c>
      <c r="H35" s="13" t="s">
        <v>28</v>
      </c>
      <c r="I35" s="13" t="s">
        <v>28</v>
      </c>
      <c r="J35" s="12" t="s">
        <v>149</v>
      </c>
      <c r="K35" s="13" t="s">
        <v>30</v>
      </c>
      <c r="L35" s="13" t="s">
        <v>28</v>
      </c>
      <c r="M35" s="13" t="s">
        <v>28</v>
      </c>
      <c r="N35" s="13" t="s">
        <v>28</v>
      </c>
      <c r="O35" s="13" t="s">
        <v>28</v>
      </c>
      <c r="P35" s="13" t="s">
        <v>31</v>
      </c>
      <c r="Q35" s="13" t="s">
        <v>31</v>
      </c>
      <c r="R35" s="13" t="s">
        <v>31</v>
      </c>
      <c r="S35" s="13" t="s">
        <v>31</v>
      </c>
      <c r="T35" s="13" t="s">
        <v>31</v>
      </c>
      <c r="U35" s="13" t="s">
        <v>31</v>
      </c>
      <c r="V35" s="13" t="s">
        <v>28</v>
      </c>
      <c r="W35" s="13" t="s">
        <v>31</v>
      </c>
      <c r="X35" s="13" t="s">
        <v>28</v>
      </c>
      <c r="Y35" s="15" t="s">
        <v>28</v>
      </c>
    </row>
    <row r="36" spans="1:25" x14ac:dyDescent="0.45">
      <c r="A36" s="11" t="s">
        <v>156</v>
      </c>
      <c r="B36" s="12" t="s">
        <v>157</v>
      </c>
      <c r="C36" s="13" t="s">
        <v>158</v>
      </c>
      <c r="D36" s="12" t="s">
        <v>120</v>
      </c>
      <c r="E36" s="13" t="s">
        <v>28</v>
      </c>
      <c r="F36" s="14">
        <v>14000</v>
      </c>
      <c r="G36" s="13" t="s">
        <v>31</v>
      </c>
      <c r="H36" s="13" t="s">
        <v>28</v>
      </c>
      <c r="I36" s="13" t="s">
        <v>28</v>
      </c>
      <c r="J36" s="12" t="s">
        <v>61</v>
      </c>
      <c r="K36" s="13" t="s">
        <v>30</v>
      </c>
      <c r="L36" s="13" t="s">
        <v>28</v>
      </c>
      <c r="M36" s="13" t="s">
        <v>28</v>
      </c>
      <c r="N36" s="13" t="s">
        <v>28</v>
      </c>
      <c r="O36" s="13" t="s">
        <v>28</v>
      </c>
      <c r="P36" s="13" t="s">
        <v>28</v>
      </c>
      <c r="Q36" s="13" t="s">
        <v>31</v>
      </c>
      <c r="R36" s="13" t="s">
        <v>28</v>
      </c>
      <c r="S36" s="13" t="s">
        <v>28</v>
      </c>
      <c r="T36" s="13" t="s">
        <v>31</v>
      </c>
      <c r="U36" s="13" t="s">
        <v>31</v>
      </c>
      <c r="V36" s="13" t="s">
        <v>31</v>
      </c>
      <c r="W36" s="13" t="s">
        <v>28</v>
      </c>
      <c r="X36" s="13" t="s">
        <v>28</v>
      </c>
      <c r="Y36" s="15" t="s">
        <v>28</v>
      </c>
    </row>
    <row r="37" spans="1:25" x14ac:dyDescent="0.45">
      <c r="A37" s="11" t="s">
        <v>159</v>
      </c>
      <c r="B37" s="12" t="s">
        <v>160</v>
      </c>
      <c r="C37" s="13" t="s">
        <v>161</v>
      </c>
      <c r="D37" s="12" t="s">
        <v>120</v>
      </c>
      <c r="E37" s="13" t="s">
        <v>28</v>
      </c>
      <c r="F37" s="14">
        <v>15000</v>
      </c>
      <c r="G37" s="13" t="s">
        <v>31</v>
      </c>
      <c r="H37" s="13" t="s">
        <v>28</v>
      </c>
      <c r="I37" s="13" t="s">
        <v>28</v>
      </c>
      <c r="J37" s="12" t="s">
        <v>162</v>
      </c>
      <c r="K37" s="13" t="s">
        <v>30</v>
      </c>
      <c r="L37" s="13" t="s">
        <v>28</v>
      </c>
      <c r="M37" s="13" t="s">
        <v>28</v>
      </c>
      <c r="N37" s="13" t="s">
        <v>28</v>
      </c>
      <c r="O37" s="13" t="s">
        <v>28</v>
      </c>
      <c r="P37" s="13" t="s">
        <v>28</v>
      </c>
      <c r="Q37" s="13" t="s">
        <v>31</v>
      </c>
      <c r="R37" s="13" t="s">
        <v>28</v>
      </c>
      <c r="S37" s="13" t="s">
        <v>28</v>
      </c>
      <c r="T37" s="13" t="s">
        <v>31</v>
      </c>
      <c r="U37" s="13" t="s">
        <v>31</v>
      </c>
      <c r="V37" s="13" t="s">
        <v>31</v>
      </c>
      <c r="W37" s="13" t="s">
        <v>28</v>
      </c>
      <c r="X37" s="13" t="s">
        <v>28</v>
      </c>
      <c r="Y37" s="15" t="s">
        <v>28</v>
      </c>
    </row>
    <row r="38" spans="1:25" x14ac:dyDescent="0.45">
      <c r="A38" s="11" t="s">
        <v>163</v>
      </c>
      <c r="B38" s="12" t="s">
        <v>164</v>
      </c>
      <c r="C38" s="13" t="s">
        <v>165</v>
      </c>
      <c r="D38" s="12" t="s">
        <v>120</v>
      </c>
      <c r="E38" s="13" t="s">
        <v>28</v>
      </c>
      <c r="F38" s="14"/>
      <c r="G38" s="13" t="s">
        <v>28</v>
      </c>
      <c r="H38" s="13" t="s">
        <v>28</v>
      </c>
      <c r="I38" s="13" t="s">
        <v>31</v>
      </c>
      <c r="J38" s="12" t="s">
        <v>166</v>
      </c>
      <c r="K38" s="13" t="s">
        <v>41</v>
      </c>
      <c r="L38" s="13" t="s">
        <v>28</v>
      </c>
      <c r="M38" s="13" t="s">
        <v>28</v>
      </c>
      <c r="N38" s="13" t="s">
        <v>28</v>
      </c>
      <c r="O38" s="13" t="s">
        <v>28</v>
      </c>
      <c r="P38" s="13" t="s">
        <v>28</v>
      </c>
      <c r="Q38" s="13" t="s">
        <v>31</v>
      </c>
      <c r="R38" s="13" t="s">
        <v>31</v>
      </c>
      <c r="S38" s="13" t="s">
        <v>31</v>
      </c>
      <c r="T38" s="13" t="s">
        <v>31</v>
      </c>
      <c r="U38" s="13" t="s">
        <v>31</v>
      </c>
      <c r="V38" s="13" t="s">
        <v>31</v>
      </c>
      <c r="W38" s="13" t="s">
        <v>31</v>
      </c>
      <c r="X38" s="13" t="s">
        <v>28</v>
      </c>
      <c r="Y38" s="15" t="s">
        <v>28</v>
      </c>
    </row>
    <row r="39" spans="1:25" x14ac:dyDescent="0.45">
      <c r="A39" s="11" t="s">
        <v>167</v>
      </c>
      <c r="B39" s="12" t="s">
        <v>168</v>
      </c>
      <c r="C39" s="13" t="s">
        <v>165</v>
      </c>
      <c r="D39" s="12" t="s">
        <v>120</v>
      </c>
      <c r="E39" s="13" t="s">
        <v>28</v>
      </c>
      <c r="F39" s="14"/>
      <c r="G39" s="13" t="s">
        <v>28</v>
      </c>
      <c r="H39" s="13" t="s">
        <v>28</v>
      </c>
      <c r="I39" s="13" t="s">
        <v>31</v>
      </c>
      <c r="J39" s="12" t="s">
        <v>166</v>
      </c>
      <c r="K39" s="13" t="s">
        <v>41</v>
      </c>
      <c r="L39" s="13" t="s">
        <v>28</v>
      </c>
      <c r="M39" s="13" t="s">
        <v>28</v>
      </c>
      <c r="N39" s="13" t="s">
        <v>28</v>
      </c>
      <c r="O39" s="13" t="s">
        <v>28</v>
      </c>
      <c r="P39" s="13" t="s">
        <v>28</v>
      </c>
      <c r="Q39" s="13" t="s">
        <v>31</v>
      </c>
      <c r="R39" s="13" t="s">
        <v>31</v>
      </c>
      <c r="S39" s="13" t="s">
        <v>31</v>
      </c>
      <c r="T39" s="13" t="s">
        <v>31</v>
      </c>
      <c r="U39" s="13" t="s">
        <v>31</v>
      </c>
      <c r="V39" s="13" t="s">
        <v>31</v>
      </c>
      <c r="W39" s="13" t="s">
        <v>31</v>
      </c>
      <c r="X39" s="13" t="s">
        <v>28</v>
      </c>
      <c r="Y39" s="15" t="s">
        <v>28</v>
      </c>
    </row>
    <row r="40" spans="1:25" x14ac:dyDescent="0.45">
      <c r="A40" s="11" t="s">
        <v>169</v>
      </c>
      <c r="B40" s="12" t="s">
        <v>170</v>
      </c>
      <c r="C40" s="13" t="s">
        <v>171</v>
      </c>
      <c r="D40" s="12" t="s">
        <v>120</v>
      </c>
      <c r="E40" s="13" t="s">
        <v>28</v>
      </c>
      <c r="F40" s="14"/>
      <c r="G40" s="13" t="s">
        <v>28</v>
      </c>
      <c r="H40" s="13" t="s">
        <v>28</v>
      </c>
      <c r="I40" s="13" t="s">
        <v>31</v>
      </c>
      <c r="J40" s="12" t="s">
        <v>172</v>
      </c>
      <c r="K40" s="13" t="s">
        <v>41</v>
      </c>
      <c r="L40" s="13" t="s">
        <v>28</v>
      </c>
      <c r="M40" s="13" t="s">
        <v>28</v>
      </c>
      <c r="N40" s="13" t="s">
        <v>28</v>
      </c>
      <c r="O40" s="13" t="s">
        <v>28</v>
      </c>
      <c r="P40" s="13" t="s">
        <v>28</v>
      </c>
      <c r="Q40" s="13" t="s">
        <v>31</v>
      </c>
      <c r="R40" s="13" t="s">
        <v>31</v>
      </c>
      <c r="S40" s="13" t="s">
        <v>31</v>
      </c>
      <c r="T40" s="13" t="s">
        <v>31</v>
      </c>
      <c r="U40" s="13" t="s">
        <v>28</v>
      </c>
      <c r="V40" s="13" t="s">
        <v>31</v>
      </c>
      <c r="W40" s="13" t="s">
        <v>31</v>
      </c>
      <c r="X40" s="13" t="s">
        <v>28</v>
      </c>
      <c r="Y40" s="15" t="s">
        <v>28</v>
      </c>
    </row>
    <row r="41" spans="1:25" x14ac:dyDescent="0.45">
      <c r="A41" s="11" t="s">
        <v>173</v>
      </c>
      <c r="B41" s="12" t="s">
        <v>174</v>
      </c>
      <c r="C41" s="13" t="s">
        <v>175</v>
      </c>
      <c r="D41" s="12" t="s">
        <v>120</v>
      </c>
      <c r="E41" s="13" t="s">
        <v>31</v>
      </c>
      <c r="F41" s="14"/>
      <c r="G41" s="13" t="s">
        <v>31</v>
      </c>
      <c r="H41" s="13" t="s">
        <v>31</v>
      </c>
      <c r="I41" s="13" t="s">
        <v>31</v>
      </c>
      <c r="J41" s="12" t="s">
        <v>176</v>
      </c>
      <c r="K41" s="13" t="s">
        <v>41</v>
      </c>
      <c r="L41" s="13" t="s">
        <v>31</v>
      </c>
      <c r="M41" s="13" t="s">
        <v>28</v>
      </c>
      <c r="N41" s="13" t="s">
        <v>28</v>
      </c>
      <c r="O41" s="13" t="s">
        <v>28</v>
      </c>
      <c r="P41" s="13" t="s">
        <v>28</v>
      </c>
      <c r="Q41" s="13" t="s">
        <v>31</v>
      </c>
      <c r="R41" s="13" t="s">
        <v>31</v>
      </c>
      <c r="S41" s="13" t="s">
        <v>31</v>
      </c>
      <c r="T41" s="13" t="s">
        <v>28</v>
      </c>
      <c r="U41" s="13" t="s">
        <v>31</v>
      </c>
      <c r="V41" s="13" t="s">
        <v>31</v>
      </c>
      <c r="W41" s="13" t="s">
        <v>31</v>
      </c>
      <c r="X41" s="13" t="s">
        <v>28</v>
      </c>
      <c r="Y41" s="15" t="s">
        <v>28</v>
      </c>
    </row>
    <row r="42" spans="1:25" x14ac:dyDescent="0.45">
      <c r="A42" s="11" t="s">
        <v>177</v>
      </c>
      <c r="B42" s="12" t="s">
        <v>178</v>
      </c>
      <c r="C42" s="13" t="s">
        <v>179</v>
      </c>
      <c r="D42" s="12" t="s">
        <v>120</v>
      </c>
      <c r="E42" s="13" t="s">
        <v>28</v>
      </c>
      <c r="F42" s="14"/>
      <c r="G42" s="13" t="s">
        <v>28</v>
      </c>
      <c r="H42" s="13" t="s">
        <v>31</v>
      </c>
      <c r="I42" s="13" t="s">
        <v>28</v>
      </c>
      <c r="J42" s="12" t="s">
        <v>180</v>
      </c>
      <c r="K42" s="13" t="s">
        <v>41</v>
      </c>
      <c r="L42" s="13" t="s">
        <v>28</v>
      </c>
      <c r="M42" s="13" t="s">
        <v>28</v>
      </c>
      <c r="N42" s="13" t="s">
        <v>28</v>
      </c>
      <c r="O42" s="13" t="s">
        <v>28</v>
      </c>
      <c r="P42" s="13" t="s">
        <v>28</v>
      </c>
      <c r="Q42" s="13" t="s">
        <v>31</v>
      </c>
      <c r="R42" s="13" t="s">
        <v>31</v>
      </c>
      <c r="S42" s="13" t="s">
        <v>31</v>
      </c>
      <c r="T42" s="13" t="s">
        <v>31</v>
      </c>
      <c r="U42" s="13" t="s">
        <v>28</v>
      </c>
      <c r="V42" s="13" t="s">
        <v>31</v>
      </c>
      <c r="W42" s="13" t="s">
        <v>31</v>
      </c>
      <c r="X42" s="13" t="s">
        <v>28</v>
      </c>
      <c r="Y42" s="15" t="s">
        <v>28</v>
      </c>
    </row>
    <row r="43" spans="1:25" x14ac:dyDescent="0.45">
      <c r="A43" s="11" t="s">
        <v>181</v>
      </c>
      <c r="B43" s="12" t="s">
        <v>182</v>
      </c>
      <c r="C43" s="13" t="s">
        <v>183</v>
      </c>
      <c r="D43" s="12" t="s">
        <v>120</v>
      </c>
      <c r="E43" s="13" t="s">
        <v>31</v>
      </c>
      <c r="F43" s="18">
        <f>0.7335*30000</f>
        <v>22005</v>
      </c>
      <c r="G43" s="13" t="s">
        <v>31</v>
      </c>
      <c r="H43" s="13" t="s">
        <v>28</v>
      </c>
      <c r="I43" s="13" t="s">
        <v>28</v>
      </c>
      <c r="J43" s="12" t="s">
        <v>184</v>
      </c>
      <c r="K43" s="13" t="s">
        <v>41</v>
      </c>
      <c r="L43" s="13" t="s">
        <v>28</v>
      </c>
      <c r="M43" s="13" t="s">
        <v>31</v>
      </c>
      <c r="N43" s="13" t="s">
        <v>28</v>
      </c>
      <c r="O43" s="13" t="s">
        <v>28</v>
      </c>
      <c r="P43" s="13" t="s">
        <v>31</v>
      </c>
      <c r="Q43" s="13" t="s">
        <v>31</v>
      </c>
      <c r="R43" s="13" t="s">
        <v>31</v>
      </c>
      <c r="S43" s="13" t="s">
        <v>31</v>
      </c>
      <c r="T43" s="13" t="s">
        <v>31</v>
      </c>
      <c r="U43" s="13" t="s">
        <v>31</v>
      </c>
      <c r="V43" s="13" t="s">
        <v>31</v>
      </c>
      <c r="W43" s="13" t="s">
        <v>31</v>
      </c>
      <c r="X43" s="13" t="s">
        <v>28</v>
      </c>
      <c r="Y43" s="15" t="s">
        <v>28</v>
      </c>
    </row>
    <row r="44" spans="1:25" x14ac:dyDescent="0.45">
      <c r="A44" s="11" t="s">
        <v>185</v>
      </c>
      <c r="B44" s="12" t="s">
        <v>186</v>
      </c>
      <c r="C44" s="13" t="s">
        <v>161</v>
      </c>
      <c r="D44" s="12" t="s">
        <v>120</v>
      </c>
      <c r="E44" s="13" t="s">
        <v>28</v>
      </c>
      <c r="F44" s="14">
        <v>15000</v>
      </c>
      <c r="G44" s="13" t="s">
        <v>31</v>
      </c>
      <c r="H44" s="13" t="s">
        <v>28</v>
      </c>
      <c r="I44" s="13" t="s">
        <v>28</v>
      </c>
      <c r="J44" s="12" t="s">
        <v>187</v>
      </c>
      <c r="K44" s="13" t="s">
        <v>30</v>
      </c>
      <c r="L44" s="13" t="s">
        <v>28</v>
      </c>
      <c r="M44" s="13" t="s">
        <v>28</v>
      </c>
      <c r="N44" s="13" t="s">
        <v>28</v>
      </c>
      <c r="O44" s="13" t="s">
        <v>28</v>
      </c>
      <c r="P44" s="13" t="s">
        <v>28</v>
      </c>
      <c r="Q44" s="13" t="s">
        <v>31</v>
      </c>
      <c r="R44" s="13" t="s">
        <v>28</v>
      </c>
      <c r="S44" s="13" t="s">
        <v>31</v>
      </c>
      <c r="T44" s="13" t="s">
        <v>31</v>
      </c>
      <c r="U44" s="13" t="s">
        <v>31</v>
      </c>
      <c r="V44" s="13" t="s">
        <v>31</v>
      </c>
      <c r="W44" s="13" t="s">
        <v>31</v>
      </c>
      <c r="X44" s="13" t="s">
        <v>28</v>
      </c>
      <c r="Y44" s="15" t="s">
        <v>28</v>
      </c>
    </row>
    <row r="45" spans="1:25" x14ac:dyDescent="0.45">
      <c r="A45" s="11" t="s">
        <v>188</v>
      </c>
      <c r="B45" s="12" t="s">
        <v>189</v>
      </c>
      <c r="C45" s="13" t="s">
        <v>190</v>
      </c>
      <c r="D45" s="12" t="s">
        <v>120</v>
      </c>
      <c r="E45" s="13" t="s">
        <v>28</v>
      </c>
      <c r="F45" s="14">
        <v>30000</v>
      </c>
      <c r="G45" s="13" t="s">
        <v>28</v>
      </c>
      <c r="H45" s="13" t="s">
        <v>28</v>
      </c>
      <c r="I45" s="13" t="s">
        <v>28</v>
      </c>
      <c r="J45" s="12" t="s">
        <v>191</v>
      </c>
      <c r="K45" s="13" t="s">
        <v>30</v>
      </c>
      <c r="L45" s="13" t="s">
        <v>28</v>
      </c>
      <c r="M45" s="13" t="s">
        <v>28</v>
      </c>
      <c r="N45" s="13" t="s">
        <v>28</v>
      </c>
      <c r="O45" s="13" t="s">
        <v>28</v>
      </c>
      <c r="P45" s="13" t="s">
        <v>28</v>
      </c>
      <c r="Q45" s="13" t="s">
        <v>31</v>
      </c>
      <c r="R45" s="13" t="s">
        <v>28</v>
      </c>
      <c r="S45" s="13" t="s">
        <v>28</v>
      </c>
      <c r="T45" s="13" t="s">
        <v>31</v>
      </c>
      <c r="U45" s="13" t="s">
        <v>31</v>
      </c>
      <c r="V45" s="13" t="s">
        <v>31</v>
      </c>
      <c r="W45" s="13" t="s">
        <v>31</v>
      </c>
      <c r="X45" s="13" t="s">
        <v>28</v>
      </c>
      <c r="Y45" s="15" t="s">
        <v>28</v>
      </c>
    </row>
    <row r="46" spans="1:25" x14ac:dyDescent="0.45">
      <c r="A46" s="11" t="s">
        <v>192</v>
      </c>
      <c r="B46" s="12" t="s">
        <v>193</v>
      </c>
      <c r="C46" s="13" t="s">
        <v>158</v>
      </c>
      <c r="D46" s="12" t="s">
        <v>120</v>
      </c>
      <c r="E46" s="13" t="s">
        <v>28</v>
      </c>
      <c r="F46" s="14">
        <v>14000</v>
      </c>
      <c r="G46" s="13" t="s">
        <v>31</v>
      </c>
      <c r="H46" s="13" t="s">
        <v>28</v>
      </c>
      <c r="I46" s="13" t="s">
        <v>28</v>
      </c>
      <c r="J46" s="12" t="s">
        <v>194</v>
      </c>
      <c r="K46" s="13" t="s">
        <v>30</v>
      </c>
      <c r="L46" s="13" t="s">
        <v>28</v>
      </c>
      <c r="M46" s="13" t="s">
        <v>28</v>
      </c>
      <c r="N46" s="13" t="s">
        <v>28</v>
      </c>
      <c r="O46" s="13" t="s">
        <v>28</v>
      </c>
      <c r="P46" s="13" t="s">
        <v>28</v>
      </c>
      <c r="Q46" s="13" t="s">
        <v>31</v>
      </c>
      <c r="R46" s="13" t="s">
        <v>28</v>
      </c>
      <c r="S46" s="13" t="s">
        <v>28</v>
      </c>
      <c r="T46" s="13" t="s">
        <v>31</v>
      </c>
      <c r="U46" s="13" t="s">
        <v>31</v>
      </c>
      <c r="V46" s="13" t="s">
        <v>31</v>
      </c>
      <c r="W46" s="13" t="s">
        <v>31</v>
      </c>
      <c r="X46" s="13" t="s">
        <v>28</v>
      </c>
      <c r="Y46" s="15" t="s">
        <v>28</v>
      </c>
    </row>
    <row r="47" spans="1:25" x14ac:dyDescent="0.45">
      <c r="A47" s="11" t="s">
        <v>195</v>
      </c>
      <c r="B47" s="12" t="s">
        <v>196</v>
      </c>
      <c r="C47" s="13" t="s">
        <v>197</v>
      </c>
      <c r="D47" s="12" t="s">
        <v>120</v>
      </c>
      <c r="E47" s="13" t="s">
        <v>28</v>
      </c>
      <c r="F47" s="14">
        <v>14000</v>
      </c>
      <c r="G47" s="13" t="s">
        <v>31</v>
      </c>
      <c r="H47" s="13" t="s">
        <v>28</v>
      </c>
      <c r="I47" s="13" t="s">
        <v>28</v>
      </c>
      <c r="J47" s="12" t="s">
        <v>198</v>
      </c>
      <c r="K47" s="13" t="s">
        <v>30</v>
      </c>
      <c r="L47" s="13" t="s">
        <v>28</v>
      </c>
      <c r="M47" s="13" t="s">
        <v>28</v>
      </c>
      <c r="N47" s="13" t="s">
        <v>28</v>
      </c>
      <c r="O47" s="13" t="s">
        <v>28</v>
      </c>
      <c r="P47" s="13" t="s">
        <v>28</v>
      </c>
      <c r="Q47" s="13" t="s">
        <v>31</v>
      </c>
      <c r="R47" s="13" t="s">
        <v>28</v>
      </c>
      <c r="S47" s="13" t="s">
        <v>28</v>
      </c>
      <c r="T47" s="13" t="s">
        <v>31</v>
      </c>
      <c r="U47" s="13" t="s">
        <v>31</v>
      </c>
      <c r="V47" s="13" t="s">
        <v>31</v>
      </c>
      <c r="W47" s="13" t="s">
        <v>31</v>
      </c>
      <c r="X47" s="13" t="s">
        <v>28</v>
      </c>
      <c r="Y47" s="15" t="s">
        <v>28</v>
      </c>
    </row>
    <row r="48" spans="1:25" x14ac:dyDescent="0.45">
      <c r="A48" s="11" t="s">
        <v>199</v>
      </c>
      <c r="B48" s="12" t="s">
        <v>157</v>
      </c>
      <c r="C48" s="13" t="s">
        <v>197</v>
      </c>
      <c r="D48" s="12" t="s">
        <v>120</v>
      </c>
      <c r="E48" s="13" t="s">
        <v>28</v>
      </c>
      <c r="F48" s="14">
        <v>14000</v>
      </c>
      <c r="G48" s="13" t="s">
        <v>31</v>
      </c>
      <c r="H48" s="13" t="s">
        <v>28</v>
      </c>
      <c r="I48" s="13" t="s">
        <v>28</v>
      </c>
      <c r="J48" s="12" t="s">
        <v>198</v>
      </c>
      <c r="K48" s="13" t="s">
        <v>30</v>
      </c>
      <c r="L48" s="13" t="s">
        <v>28</v>
      </c>
      <c r="M48" s="13" t="s">
        <v>28</v>
      </c>
      <c r="N48" s="13" t="s">
        <v>28</v>
      </c>
      <c r="O48" s="13" t="s">
        <v>28</v>
      </c>
      <c r="P48" s="13" t="s">
        <v>28</v>
      </c>
      <c r="Q48" s="13" t="s">
        <v>31</v>
      </c>
      <c r="R48" s="13" t="s">
        <v>28</v>
      </c>
      <c r="S48" s="13" t="s">
        <v>28</v>
      </c>
      <c r="T48" s="13" t="s">
        <v>31</v>
      </c>
      <c r="U48" s="13" t="s">
        <v>31</v>
      </c>
      <c r="V48" s="13" t="s">
        <v>31</v>
      </c>
      <c r="W48" s="13" t="s">
        <v>31</v>
      </c>
      <c r="X48" s="13" t="s">
        <v>28</v>
      </c>
      <c r="Y48" s="15" t="s">
        <v>28</v>
      </c>
    </row>
    <row r="49" spans="1:25" x14ac:dyDescent="0.45">
      <c r="A49" s="11" t="s">
        <v>200</v>
      </c>
      <c r="B49" s="12" t="s">
        <v>201</v>
      </c>
      <c r="C49" s="13" t="s">
        <v>158</v>
      </c>
      <c r="D49" s="12" t="s">
        <v>120</v>
      </c>
      <c r="E49" s="13" t="s">
        <v>28</v>
      </c>
      <c r="F49" s="14">
        <v>14000</v>
      </c>
      <c r="G49" s="13" t="s">
        <v>31</v>
      </c>
      <c r="H49" s="13" t="s">
        <v>28</v>
      </c>
      <c r="I49" s="13" t="s">
        <v>28</v>
      </c>
      <c r="J49" s="12" t="s">
        <v>202</v>
      </c>
      <c r="K49" s="13" t="s">
        <v>30</v>
      </c>
      <c r="L49" s="13" t="s">
        <v>28</v>
      </c>
      <c r="M49" s="13" t="s">
        <v>28</v>
      </c>
      <c r="N49" s="13" t="s">
        <v>28</v>
      </c>
      <c r="O49" s="13" t="s">
        <v>28</v>
      </c>
      <c r="P49" s="13" t="s">
        <v>28</v>
      </c>
      <c r="Q49" s="13" t="s">
        <v>31</v>
      </c>
      <c r="R49" s="13" t="s">
        <v>28</v>
      </c>
      <c r="S49" s="13" t="s">
        <v>28</v>
      </c>
      <c r="T49" s="13" t="s">
        <v>31</v>
      </c>
      <c r="U49" s="13" t="s">
        <v>31</v>
      </c>
      <c r="V49" s="13" t="s">
        <v>31</v>
      </c>
      <c r="W49" s="13" t="s">
        <v>31</v>
      </c>
      <c r="X49" s="13" t="s">
        <v>28</v>
      </c>
      <c r="Y49" s="15" t="s">
        <v>28</v>
      </c>
    </row>
    <row r="50" spans="1:25" x14ac:dyDescent="0.45">
      <c r="A50" s="11" t="s">
        <v>203</v>
      </c>
      <c r="B50" s="12" t="s">
        <v>204</v>
      </c>
      <c r="C50" s="13" t="s">
        <v>205</v>
      </c>
      <c r="D50" s="12" t="s">
        <v>206</v>
      </c>
      <c r="E50" s="13" t="s">
        <v>28</v>
      </c>
      <c r="F50" s="14">
        <f>0.7335*33200</f>
        <v>24352.2</v>
      </c>
      <c r="G50" s="13" t="s">
        <v>31</v>
      </c>
      <c r="H50" s="13" t="s">
        <v>28</v>
      </c>
      <c r="I50" s="13" t="s">
        <v>28</v>
      </c>
      <c r="J50" s="12" t="s">
        <v>207</v>
      </c>
      <c r="K50" s="13" t="s">
        <v>41</v>
      </c>
      <c r="L50" s="13" t="s">
        <v>28</v>
      </c>
      <c r="M50" s="13" t="s">
        <v>28</v>
      </c>
      <c r="N50" s="13" t="s">
        <v>28</v>
      </c>
      <c r="O50" s="13" t="s">
        <v>28</v>
      </c>
      <c r="P50" s="13" t="s">
        <v>28</v>
      </c>
      <c r="Q50" s="13" t="s">
        <v>31</v>
      </c>
      <c r="R50" s="13" t="s">
        <v>31</v>
      </c>
      <c r="S50" s="13" t="s">
        <v>28</v>
      </c>
      <c r="T50" s="13" t="s">
        <v>28</v>
      </c>
      <c r="U50" s="13" t="s">
        <v>28</v>
      </c>
      <c r="V50" s="13" t="s">
        <v>28</v>
      </c>
      <c r="W50" s="13" t="s">
        <v>31</v>
      </c>
      <c r="X50" s="13" t="s">
        <v>28</v>
      </c>
      <c r="Y50" s="15" t="s">
        <v>28</v>
      </c>
    </row>
    <row r="51" spans="1:25" x14ac:dyDescent="0.45">
      <c r="A51" s="11" t="s">
        <v>208</v>
      </c>
      <c r="B51" s="12" t="s">
        <v>209</v>
      </c>
      <c r="C51" s="13" t="s">
        <v>210</v>
      </c>
      <c r="D51" s="12" t="s">
        <v>206</v>
      </c>
      <c r="E51" s="13" t="s">
        <v>28</v>
      </c>
      <c r="F51" s="14">
        <v>14400</v>
      </c>
      <c r="G51" s="13" t="s">
        <v>28</v>
      </c>
      <c r="H51" s="13" t="s">
        <v>28</v>
      </c>
      <c r="I51" s="13" t="s">
        <v>28</v>
      </c>
      <c r="J51" s="12" t="s">
        <v>211</v>
      </c>
      <c r="K51" s="13" t="s">
        <v>30</v>
      </c>
      <c r="L51" s="13" t="s">
        <v>28</v>
      </c>
      <c r="M51" s="13" t="s">
        <v>28</v>
      </c>
      <c r="N51" s="13" t="s">
        <v>31</v>
      </c>
      <c r="O51" s="13" t="s">
        <v>28</v>
      </c>
      <c r="P51" s="13" t="s">
        <v>28</v>
      </c>
      <c r="Q51" s="13" t="s">
        <v>31</v>
      </c>
      <c r="R51" s="13" t="s">
        <v>31</v>
      </c>
      <c r="S51" s="13" t="s">
        <v>28</v>
      </c>
      <c r="T51" s="13" t="s">
        <v>28</v>
      </c>
      <c r="U51" s="13" t="s">
        <v>28</v>
      </c>
      <c r="V51" s="13" t="s">
        <v>31</v>
      </c>
      <c r="W51" s="13" t="s">
        <v>28</v>
      </c>
      <c r="X51" s="13" t="s">
        <v>28</v>
      </c>
      <c r="Y51" s="15" t="s">
        <v>28</v>
      </c>
    </row>
    <row r="52" spans="1:25" x14ac:dyDescent="0.45">
      <c r="A52" s="11" t="s">
        <v>212</v>
      </c>
      <c r="B52" s="12" t="s">
        <v>213</v>
      </c>
      <c r="C52" s="13" t="s">
        <v>210</v>
      </c>
      <c r="D52" s="12" t="s">
        <v>206</v>
      </c>
      <c r="E52" s="13" t="s">
        <v>28</v>
      </c>
      <c r="F52" s="14">
        <v>14400</v>
      </c>
      <c r="G52" s="13" t="s">
        <v>28</v>
      </c>
      <c r="H52" s="13" t="s">
        <v>28</v>
      </c>
      <c r="I52" s="13" t="s">
        <v>28</v>
      </c>
      <c r="J52" s="12" t="s">
        <v>211</v>
      </c>
      <c r="K52" s="13" t="s">
        <v>30</v>
      </c>
      <c r="L52" s="13" t="s">
        <v>28</v>
      </c>
      <c r="M52" s="13" t="s">
        <v>28</v>
      </c>
      <c r="N52" s="13" t="s">
        <v>31</v>
      </c>
      <c r="O52" s="13" t="s">
        <v>28</v>
      </c>
      <c r="P52" s="13" t="s">
        <v>28</v>
      </c>
      <c r="Q52" s="13" t="s">
        <v>31</v>
      </c>
      <c r="R52" s="13" t="s">
        <v>31</v>
      </c>
      <c r="S52" s="13" t="s">
        <v>28</v>
      </c>
      <c r="T52" s="13" t="s">
        <v>28</v>
      </c>
      <c r="U52" s="13" t="s">
        <v>28</v>
      </c>
      <c r="V52" s="13" t="s">
        <v>31</v>
      </c>
      <c r="W52" s="13" t="s">
        <v>31</v>
      </c>
      <c r="X52" s="13" t="s">
        <v>28</v>
      </c>
      <c r="Y52" s="15" t="s">
        <v>28</v>
      </c>
    </row>
    <row r="53" spans="1:25" x14ac:dyDescent="0.45">
      <c r="A53" s="11" t="s">
        <v>214</v>
      </c>
      <c r="B53" s="12" t="s">
        <v>215</v>
      </c>
      <c r="C53" s="13" t="s">
        <v>210</v>
      </c>
      <c r="D53" s="12" t="s">
        <v>206</v>
      </c>
      <c r="E53" s="13" t="s">
        <v>28</v>
      </c>
      <c r="F53" s="14">
        <v>14400</v>
      </c>
      <c r="G53" s="13" t="s">
        <v>28</v>
      </c>
      <c r="H53" s="13" t="s">
        <v>28</v>
      </c>
      <c r="I53" s="13" t="s">
        <v>28</v>
      </c>
      <c r="J53" s="12" t="s">
        <v>216</v>
      </c>
      <c r="K53" s="13" t="s">
        <v>30</v>
      </c>
      <c r="L53" s="13" t="s">
        <v>28</v>
      </c>
      <c r="M53" s="13" t="s">
        <v>28</v>
      </c>
      <c r="N53" s="13" t="s">
        <v>31</v>
      </c>
      <c r="O53" s="13" t="s">
        <v>28</v>
      </c>
      <c r="P53" s="13" t="s">
        <v>28</v>
      </c>
      <c r="Q53" s="13" t="s">
        <v>31</v>
      </c>
      <c r="R53" s="13" t="s">
        <v>31</v>
      </c>
      <c r="S53" s="13" t="s">
        <v>28</v>
      </c>
      <c r="T53" s="13" t="s">
        <v>28</v>
      </c>
      <c r="U53" s="13" t="s">
        <v>28</v>
      </c>
      <c r="V53" s="13" t="s">
        <v>31</v>
      </c>
      <c r="W53" s="13" t="s">
        <v>31</v>
      </c>
      <c r="X53" s="13" t="s">
        <v>28</v>
      </c>
      <c r="Y53" s="15" t="s">
        <v>28</v>
      </c>
    </row>
    <row r="54" spans="1:25" x14ac:dyDescent="0.45">
      <c r="A54" s="3"/>
      <c r="B54" s="8"/>
      <c r="C54" s="3"/>
      <c r="D54" s="8"/>
      <c r="E54" s="3"/>
      <c r="F54" s="8"/>
      <c r="G54" s="3"/>
      <c r="H54" s="3"/>
      <c r="I54" s="3"/>
      <c r="J54" s="8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8"/>
    </row>
  </sheetData>
  <conditionalFormatting sqref="G1:G53">
    <cfRule type="containsText" priority="11" operator="containsText" text="Y">
      <formula>NOT(ISERROR(SEARCH("Y",G1)))</formula>
    </cfRule>
  </conditionalFormatting>
  <conditionalFormatting sqref="K1:K2">
    <cfRule type="colorScale" priority="9">
      <colorScale>
        <cfvo type="min"/>
        <cfvo type="max"/>
        <color rgb="FFFF7128"/>
        <color rgb="FFFFEF9C"/>
      </colorScale>
    </cfRule>
  </conditionalFormatting>
  <conditionalFormatting sqref="L3:Y53">
    <cfRule type="cellIs" dxfId="2" priority="8" operator="equal">
      <formula>"Y"</formula>
    </cfRule>
  </conditionalFormatting>
  <conditionalFormatting sqref="G2:I53">
    <cfRule type="cellIs" dxfId="1" priority="7" operator="equal">
      <formula>"Y"</formula>
    </cfRule>
  </conditionalFormatting>
  <conditionalFormatting sqref="F3:F53">
    <cfRule type="cellIs" dxfId="0" priority="1" operator="lessThan">
      <formula>25600</formula>
    </cfRule>
  </conditionalFormatting>
  <hyperlinks>
    <hyperlink ref="A11" r:id="rId1" xr:uid="{A07A3114-AEDC-4BEF-95ED-7350B9F25327}"/>
    <hyperlink ref="A25" r:id="rId2" xr:uid="{C26062AF-E6B7-4B6B-9D89-7D3D0F8E24CE}"/>
    <hyperlink ref="A26" r:id="rId3" xr:uid="{52288A60-170F-442B-9EB4-0D31AFAFDF12}"/>
    <hyperlink ref="A27" r:id="rId4" xr:uid="{32C1328F-CDC2-4284-BA2D-184500504319}"/>
    <hyperlink ref="A50" r:id="rId5" xr:uid="{8CF450D8-38C6-4149-AB60-C31790FF7CA6}"/>
    <hyperlink ref="A5" r:id="rId6" xr:uid="{92363233-E8FF-452C-B6E8-AEA57521DB9A}"/>
    <hyperlink ref="A28" r:id="rId7" xr:uid="{B40D7FAA-E784-467A-8EF3-9A8EEB38984F}"/>
    <hyperlink ref="A29" r:id="rId8" xr:uid="{5617FEFC-CC9D-4A24-9E0D-196A6378BD58}"/>
    <hyperlink ref="A6" r:id="rId9" xr:uid="{66780480-F884-4783-91E0-F6E31297FD5E}"/>
    <hyperlink ref="A30" r:id="rId10" xr:uid="{5CE0570C-DF02-44E0-BF06-A6D35FACBD77}"/>
    <hyperlink ref="A7" r:id="rId11" xr:uid="{23B7B937-E7CA-4868-AAB2-8E39EF4781A5}"/>
    <hyperlink ref="A16" r:id="rId12" xr:uid="{5E09B453-957C-41E1-BFFB-95011059828D}"/>
    <hyperlink ref="A18" r:id="rId13" xr:uid="{E67096EE-EB7D-4083-ADD9-E6B7509C119B}"/>
    <hyperlink ref="A31" r:id="rId14" xr:uid="{094371B7-5EAE-4F0C-9832-9F28FE83D327}"/>
    <hyperlink ref="A8" r:id="rId15" xr:uid="{E92A24A8-4707-4963-BF58-6DCC6BD8E0F5}"/>
    <hyperlink ref="A36" r:id="rId16" display="https://www.totaljobs.com/job/graduate-teaching-assistant/ribbons-and-reeves-limited-job94664976" xr:uid="{E4089EE0-9C49-4486-9DE1-A892060131F0}"/>
    <hyperlink ref="A37" r:id="rId17" display="https://www.totaljobs.com/job/mathematics-graduate/clarus-education-ltd-job94479898" xr:uid="{9BAC0F9E-48FE-4851-BAE5-FFD972F141FE}"/>
    <hyperlink ref="A24" r:id="rId18" display="https://www.totaljobs.com/job/business-support-apprentice/saria-job94604561" xr:uid="{41E621F0-139E-4A89-A5D9-F178B0101CFE}"/>
    <hyperlink ref="A20" r:id="rId19" display="https://www.totaljobs.com/job/architect/mbda-job94790937" xr:uid="{7013A749-4EBD-489F-8E9A-25DD027E5A00}"/>
    <hyperlink ref="A10" r:id="rId20" display="https://uk.indeed.com/viewjob?jk=6d7103ab9e106554&amp;tk=1fgpbbflltv8g802&amp;from=serp&amp;vjs=3" xr:uid="{15D9CB2A-64BF-4266-8BE9-6CA301909D6C}"/>
    <hyperlink ref="A51" r:id="rId21" display="https://uk.indeed.com/viewjob?jk=b5383c3b71e99ac7&amp;tk=1fgpbbflltv8g802&amp;from=serp&amp;vjs=3" xr:uid="{5D73CD65-7198-47EB-AA11-1205734C49DF}"/>
    <hyperlink ref="A52" r:id="rId22" display="https://uk.indeed.com/viewjob?jk=0f30c12b99d3c5c0&amp;tk=1fgpbbflltv8g802&amp;from=serp&amp;vjs=3" xr:uid="{CC9FC34F-575C-4FA3-94DD-D743F7AFEEC9}"/>
    <hyperlink ref="A53" r:id="rId23" display="https://uk.indeed.com/viewjob?jk=20b1d0366b1cceb3&amp;tk=1fgpbbflltv8g802&amp;from=serp&amp;vjs=3" xr:uid="{AD9EBEF7-7EE1-4204-8FDC-7FD9EAE4A266}"/>
    <hyperlink ref="A21" r:id="rId24" display="https://uk.indeed.com/viewjob?cmp=JZ-Flowers-International-Ltd&amp;t=Freight+Forwarding+Apprentice&amp;jk=c1a97a51db545262&amp;q=Entry+Level+Mathematical&amp;vjs=3" xr:uid="{7E2B3BDA-729C-444E-A698-CBF1647551C0}"/>
    <hyperlink ref="A12" r:id="rId25" display="https://www.indeed.com/viewjob?jk=0400537e297eea87&amp;tk=1fgpcql93t5dl800&amp;from=serp&amp;vjs=3" xr:uid="{050F312A-F01A-4330-9A94-2255611ABF10}"/>
    <hyperlink ref="A17" r:id="rId26" display="https://www.indeed.com/jobs?q=mathematician&amp;start=10&amp;vjk=caf25a84c45335a2" xr:uid="{C9E0DF22-6647-435D-B29D-ECE52417274D}"/>
    <hyperlink ref="A38" r:id="rId27" xr:uid="{0DEF05BF-74C4-4478-8396-8219930FF8F3}"/>
    <hyperlink ref="A39" r:id="rId28" xr:uid="{81BE5712-7639-437D-99C8-4D8D5809755A}"/>
    <hyperlink ref="A13" r:id="rId29" xr:uid="{67A565CE-D436-4709-B5CE-4B24A127A78A}"/>
    <hyperlink ref="A23" r:id="rId30" xr:uid="{BFEC7E42-DE68-4152-84FB-953462A9282E}"/>
    <hyperlink ref="A14" r:id="rId31" xr:uid="{8935989D-C32A-4402-9BF3-A07F5D904FBE}"/>
    <hyperlink ref="A40" r:id="rId32" xr:uid="{1177C9F2-D5FB-44AF-9249-3520CA1172A0}"/>
    <hyperlink ref="A3" r:id="rId33" display="https://www.totaljobs.com/job/entry-level-administrator/re-recruitment-job94469813" xr:uid="{AF8DDB56-CEE2-4760-A62D-916DE21FDBC2}"/>
    <hyperlink ref="A4" r:id="rId34" display="https://www.totaljobs.com/job/entry-level-administrator/bell-cornwall-job94638845" xr:uid="{7AC1F2FE-5EA9-4DD8-9D43-7D7A4A185D12}"/>
    <hyperlink ref="A15" r:id="rId35" xr:uid="{4BF4E91D-51D8-4F6D-AA83-F3AB1B9A9EF0}"/>
    <hyperlink ref="A41" r:id="rId36" xr:uid="{8C7B49EA-6B1D-401F-A680-63FDE46BB65C}"/>
    <hyperlink ref="A42" r:id="rId37" xr:uid="{AA96FC7D-40A7-478D-941E-113A55D5C1B1}"/>
    <hyperlink ref="A43" r:id="rId38" display="https://www.indeed.com/viewjob?jk=6987043f788cce90&amp;tk=1fgujme92t4br800&amp;from=serp&amp;vjs=3" xr:uid="{04AE3C4A-1C0B-406D-8B6C-2EB29FBC8BA3}"/>
    <hyperlink ref="A44" r:id="rId39" display="https://www.totaljobs.com/job/maths-teaching-assistant/clarus-education-ltd-job94332967?WT.mc_id=A_RE_TBPPC_MP2a_C16_22_TJ&amp;attb_cid=mhNKPXwB22APygrBynrk" xr:uid="{09C41665-C9F8-4BB6-93B5-28C1A05E658F}"/>
    <hyperlink ref="A45" r:id="rId40" display="https://www.totaljobs.com/job/maths-teacher/qualiteach-ltd-job94799433" xr:uid="{DE580383-119E-4A5B-8498-333B0485ABC4}"/>
    <hyperlink ref="A46" r:id="rId41" display="https://www.totaljobs.com/job/maths-tutor/ribbons-and-reeves-limited-job94638202" xr:uid="{EEC846C6-7AD0-4A9D-84EB-8DB828447078}"/>
    <hyperlink ref="A47" r:id="rId42" display="https://www.totaljobs.com/job/maths-graduate/i-teachers-job94462330" xr:uid="{7647E3AC-500B-4648-B2F5-D21AB7ADBFAC}"/>
    <hyperlink ref="A48" r:id="rId43" display="https://www.totaljobs.com/job/graduate-teaching-assistant/i-teachers-job94364290" xr:uid="{B458D74D-0CBF-48D1-89BF-F39FB1C6728B}"/>
    <hyperlink ref="A49" r:id="rId44" display="https://www.totaljobs.com/job/maths-graduate/ribbons-and-reeves-limited-job94390067" xr:uid="{3661FC24-3C3A-484B-BBD3-82B7D34340C7}"/>
    <hyperlink ref="A33" r:id="rId45" xr:uid="{2188687B-4010-47A8-97EB-2EF6A20A1EF9}"/>
    <hyperlink ref="A19" r:id="rId46" xr:uid="{6356176D-B421-4176-A7E4-A738F052D84B}"/>
    <hyperlink ref="A22" r:id="rId47" xr:uid="{D99A19F8-9C02-4572-A9B5-CB2A4A5A69EE}"/>
    <hyperlink ref="A34" r:id="rId48" xr:uid="{C63436BD-D760-4920-BB75-1BDA3A1E0C82}"/>
    <hyperlink ref="A35" r:id="rId49" xr:uid="{9933E0AD-4F93-49C0-92A6-A757AB640C44}"/>
  </hyperlinks>
  <pageMargins left="0.7" right="0.7" top="0.75" bottom="0.75" header="0.3" footer="0.3"/>
  <pageSetup orientation="portrait" r:id="rId50"/>
  <legacyDrawing r:id="rId5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58B90-E204-4499-96CB-79091634C258}">
  <sheetPr codeName="Sheet4"/>
  <dimension ref="Q3:AE30"/>
  <sheetViews>
    <sheetView zoomScale="45" zoomScaleNormal="45" workbookViewId="0">
      <selection activeCell="B5" sqref="B5"/>
    </sheetView>
  </sheetViews>
  <sheetFormatPr defaultRowHeight="14.25" x14ac:dyDescent="0.45"/>
  <cols>
    <col min="1" max="16" width="9.06640625" style="4"/>
    <col min="17" max="17" width="9.6640625" style="4" customWidth="1"/>
    <col min="18" max="26" width="9.06640625" style="4"/>
    <col min="27" max="27" width="10.86328125" style="4" bestFit="1" customWidth="1"/>
    <col min="28" max="28" width="9.06640625" style="4"/>
    <col min="29" max="31" width="10.86328125" style="4" bestFit="1" customWidth="1"/>
    <col min="32" max="16384" width="9.06640625" style="4"/>
  </cols>
  <sheetData>
    <row r="3" spans="27:31" x14ac:dyDescent="0.45">
      <c r="AC3" s="5"/>
    </row>
    <row r="4" spans="27:31" x14ac:dyDescent="0.45">
      <c r="AE4" s="5"/>
    </row>
    <row r="8" spans="27:31" x14ac:dyDescent="0.45">
      <c r="AD8" s="5"/>
    </row>
    <row r="15" spans="27:31" x14ac:dyDescent="0.45">
      <c r="AA15" s="5"/>
    </row>
    <row r="29" spans="17:20" ht="15.75" x14ac:dyDescent="0.5">
      <c r="Q29" s="6"/>
    </row>
    <row r="30" spans="17:20" ht="19.899999999999999" x14ac:dyDescent="0.5">
      <c r="T30" s="10" t="s">
        <v>218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5DC2-642A-4B24-9C63-ADD53E465D46}">
  <sheetPr codeName="Sheet2"/>
  <dimension ref="A1"/>
  <sheetViews>
    <sheetView zoomScale="55" zoomScaleNormal="55" workbookViewId="0">
      <selection activeCell="N6" sqref="N6"/>
    </sheetView>
  </sheetViews>
  <sheetFormatPr defaultRowHeight="14.25" x14ac:dyDescent="0.45"/>
  <cols>
    <col min="1" max="212" width="9.06640625" style="4"/>
    <col min="213" max="213" width="9.06640625" style="4" customWidth="1"/>
    <col min="214" max="215" width="9.06640625" style="4"/>
    <col min="216" max="221" width="9.06640625" style="4" customWidth="1"/>
    <col min="222" max="16384" width="9.06640625" style="4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59A3F-6C25-411D-B032-9ADA20A88612}">
  <sheetPr codeName="Sheet3"/>
  <dimension ref="A1"/>
  <sheetViews>
    <sheetView zoomScaleNormal="100" workbookViewId="0">
      <selection activeCell="B24" sqref="B24"/>
    </sheetView>
  </sheetViews>
  <sheetFormatPr defaultRowHeight="14.25" x14ac:dyDescent="0.45"/>
  <cols>
    <col min="1" max="1" width="13.86328125" bestFit="1" customWidth="1"/>
    <col min="2" max="2" width="14.73046875" bestFit="1" customWidth="1"/>
    <col min="3" max="4" width="10.9296875" bestFit="1" customWidth="1"/>
    <col min="5" max="5" width="6.796875" bestFit="1" customWidth="1"/>
    <col min="6" max="6" width="11.33203125" bestFit="1" customWidth="1"/>
    <col min="7" max="7" width="16.265625" bestFit="1" customWidth="1"/>
    <col min="8" max="8" width="19.06640625" bestFit="1" customWidth="1"/>
    <col min="9" max="9" width="12.796875" bestFit="1" customWidth="1"/>
    <col min="10" max="10" width="15.59765625" bestFit="1" customWidth="1"/>
    <col min="11" max="11" width="7.265625" bestFit="1" customWidth="1"/>
    <col min="12" max="12" width="5.46484375" bestFit="1" customWidth="1"/>
    <col min="13" max="13" width="10" bestFit="1" customWidth="1"/>
    <col min="14" max="14" width="9.86328125" bestFit="1" customWidth="1"/>
    <col min="15" max="15" width="8.06640625" bestFit="1" customWidth="1"/>
    <col min="16" max="16" width="12.59765625" bestFit="1" customWidth="1"/>
    <col min="17" max="17" width="9.06640625" bestFit="1" customWidth="1"/>
    <col min="18" max="18" width="11.796875" bestFit="1" customWidth="1"/>
    <col min="19" max="19" width="11.73046875" bestFit="1" customWidth="1"/>
    <col min="20" max="20" width="9.73046875" bestFit="1" customWidth="1"/>
    <col min="21" max="21" width="11.73046875" bestFit="1" customWidth="1"/>
    <col min="22" max="22" width="11.1328125" bestFit="1" customWidth="1"/>
    <col min="23" max="23" width="9.33203125" bestFit="1" customWidth="1"/>
    <col min="24" max="24" width="13.9296875" bestFit="1" customWidth="1"/>
    <col min="25" max="25" width="11.73046875" bestFit="1" customWidth="1"/>
    <col min="26" max="27" width="36.265625" bestFit="1" customWidth="1"/>
    <col min="28" max="28" width="40.9296875" bestFit="1" customWidth="1"/>
    <col min="29" max="29" width="33.19921875" bestFit="1" customWidth="1"/>
    <col min="30" max="31" width="30.9296875" bestFit="1" customWidth="1"/>
    <col min="32" max="32" width="14.73046875" bestFit="1" customWidth="1"/>
    <col min="33" max="33" width="11.3984375" bestFit="1" customWidth="1"/>
    <col min="34" max="34" width="15.1328125" bestFit="1" customWidth="1"/>
    <col min="35" max="35" width="8.796875" bestFit="1" customWidth="1"/>
    <col min="36" max="36" width="11.86328125" bestFit="1" customWidth="1"/>
    <col min="37" max="37" width="13.265625" bestFit="1" customWidth="1"/>
    <col min="38" max="38" width="16.33203125" bestFit="1" customWidth="1"/>
    <col min="39" max="39" width="13.46484375" bestFit="1" customWidth="1"/>
    <col min="40" max="40" width="16.53125" bestFit="1" customWidth="1"/>
    <col min="41" max="41" width="12" bestFit="1" customWidth="1"/>
    <col min="42" max="42" width="15" bestFit="1" customWidth="1"/>
    <col min="43" max="43" width="9.59765625" bestFit="1" customWidth="1"/>
    <col min="44" max="44" width="12.265625" bestFit="1" customWidth="1"/>
    <col min="45" max="45" width="7.46484375" bestFit="1" customWidth="1"/>
    <col min="46" max="46" width="10.46484375" bestFit="1" customWidth="1"/>
    <col min="47" max="47" width="18.1328125" bestFit="1" customWidth="1"/>
    <col min="48" max="48" width="21" bestFit="1" customWidth="1"/>
    <col min="49" max="49" width="10.33203125" bestFit="1" customWidth="1"/>
    <col min="50" max="50" width="13.33203125" bestFit="1" customWidth="1"/>
    <col min="51" max="51" width="10.46484375" bestFit="1" customWidth="1"/>
    <col min="52" max="52" width="13.59765625" bestFit="1" customWidth="1"/>
    <col min="53" max="53" width="8.6640625" bestFit="1" customWidth="1"/>
    <col min="54" max="54" width="8.33203125" bestFit="1" customWidth="1"/>
    <col min="55" max="55" width="7.3984375" bestFit="1" customWidth="1"/>
    <col min="56" max="56" width="11.46484375" bestFit="1" customWidth="1"/>
    <col min="57" max="57" width="12.1328125" bestFit="1" customWidth="1"/>
    <col min="58" max="58" width="15.19921875" bestFit="1" customWidth="1"/>
    <col min="59" max="59" width="7.6640625" bestFit="1" customWidth="1"/>
    <col min="60" max="60" width="10.6640625" bestFit="1" customWidth="1"/>
    <col min="61" max="61" width="12.59765625" bestFit="1" customWidth="1"/>
    <col min="62" max="62" width="15.59765625" bestFit="1" customWidth="1"/>
    <col min="63" max="63" width="13.19921875" bestFit="1" customWidth="1"/>
    <col min="64" max="64" width="16.265625" bestFit="1" customWidth="1"/>
    <col min="65" max="65" width="11.06640625" bestFit="1" customWidth="1"/>
    <col min="66" max="66" width="14.265625" bestFit="1" customWidth="1"/>
    <col min="67" max="67" width="14.73046875" bestFit="1" customWidth="1"/>
    <col min="68" max="68" width="13.59765625" bestFit="1" customWidth="1"/>
    <col min="69" max="69" width="12.53125" bestFit="1" customWidth="1"/>
    <col min="70" max="70" width="15.59765625" bestFit="1" customWidth="1"/>
    <col min="71" max="71" width="8.1328125" bestFit="1" customWidth="1"/>
    <col min="72" max="72" width="11.1328125" bestFit="1" customWidth="1"/>
    <col min="73" max="73" width="8.33203125" bestFit="1" customWidth="1"/>
    <col min="74" max="74" width="11.1328125" bestFit="1" customWidth="1"/>
    <col min="75" max="75" width="10.6640625" bestFit="1" customWidth="1"/>
    <col min="76" max="77" width="13.796875" bestFit="1" customWidth="1"/>
    <col min="78" max="78" width="16.9296875" bestFit="1" customWidth="1"/>
    <col min="79" max="79" width="9.73046875" bestFit="1" customWidth="1"/>
    <col min="80" max="80" width="12.6640625" bestFit="1" customWidth="1"/>
    <col min="81" max="81" width="18.265625" bestFit="1" customWidth="1"/>
    <col min="82" max="82" width="21.19921875" bestFit="1" customWidth="1"/>
    <col min="83" max="83" width="37.06640625" bestFit="1" customWidth="1"/>
    <col min="84" max="84" width="40.46484375" bestFit="1" customWidth="1"/>
    <col min="85" max="85" width="12.796875" bestFit="1" customWidth="1"/>
    <col min="86" max="86" width="16" bestFit="1" customWidth="1"/>
    <col min="87" max="87" width="16.1328125" bestFit="1" customWidth="1"/>
    <col min="88" max="88" width="19.3984375" bestFit="1" customWidth="1"/>
    <col min="89" max="89" width="13.33203125" bestFit="1" customWidth="1"/>
    <col min="90" max="90" width="16.33203125" bestFit="1" customWidth="1"/>
    <col min="91" max="91" width="10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Key Stats</vt:lpstr>
      <vt:lpstr>Macros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</dc:creator>
  <cp:lastModifiedBy>Julia</cp:lastModifiedBy>
  <dcterms:created xsi:type="dcterms:W3CDTF">2022-01-29T13:56:49Z</dcterms:created>
  <dcterms:modified xsi:type="dcterms:W3CDTF">2022-05-08T08:02:05Z</dcterms:modified>
</cp:coreProperties>
</file>